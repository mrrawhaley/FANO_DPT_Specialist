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602f750ddfe695d/Work/Feeding America/Specialist^J Digital Platform Technology/Service Desk/"/>
    </mc:Choice>
  </mc:AlternateContent>
  <xr:revisionPtr revIDLastSave="901" documentId="8_{15352A87-259C-4D12-883D-FA970A6D85CC}" xr6:coauthVersionLast="47" xr6:coauthVersionMax="47" xr10:uidLastSave="{F17126AE-D9A6-485C-BCD0-127BBACB8A63}"/>
  <bookViews>
    <workbookView xWindow="-120" yWindow="-120" windowWidth="24540" windowHeight="15720" xr2:uid="{00000000-000D-0000-FFFF-FFFF00000000}"/>
  </bookViews>
  <sheets>
    <sheet name="Dashboard" sheetId="5" r:id="rId1"/>
    <sheet name="Tickets" sheetId="1" r:id="rId2"/>
    <sheet name="Work" sheetId="2" r:id="rId3"/>
    <sheet name="Lists" sheetId="4" r:id="rId4"/>
    <sheet name="Dashboard Helper" sheetId="7" r:id="rId5"/>
  </sheets>
  <definedNames>
    <definedName name="_xlnm.Print_Area" localSheetId="0">Dashboard!$A$1:$O$32</definedName>
    <definedName name="Timeline_Ticket_Creation_Date">#N/A</definedName>
  </definedNames>
  <calcPr calcId="191029"/>
  <pivotCaches>
    <pivotCache cacheId="204" r:id="rId6"/>
    <pivotCache cacheId="207" r:id="rId7"/>
    <pivotCache cacheId="210" r:id="rId8"/>
    <pivotCache cacheId="213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167" r:id="rId10"/>
      </x15:timelineCachePivotCaches>
    </ext>
    <ext xmlns:x15="http://schemas.microsoft.com/office/spreadsheetml/2010/11/main" uri="{D0CA8CA8-9F24-4464-BF8E-62219DCF47F9}">
      <x15:timelineCacheRefs>
        <x15:timelineCacheRef r:id="rId11"/>
      </x15:timelineCacheRefs>
    </ext>
    <ext xmlns:x15="http://schemas.microsoft.com/office/spreadsheetml/2010/11/main" uri="{FCE2AD5D-F65C-4FA6-A056-5C36A1767C68}">
      <x15:dataModel>
        <x15:modelTables>
          <x15:modelTable id="Tickets_c39fe82d-1da5-4188-b92b-832593409cfc" name="Tickets" connection="Query - Ticket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7" i="1" l="1" a="1"/>
  <c r="J17" i="1" s="1"/>
  <c r="K17" i="1" s="1" a="1"/>
  <c r="K17" i="1" s="1"/>
  <c r="M17" i="1" s="1"/>
  <c r="L17" i="1"/>
  <c r="F29" i="5"/>
  <c r="F30" i="5"/>
  <c r="F31" i="5"/>
  <c r="F32" i="5"/>
  <c r="F28" i="5"/>
  <c r="A29" i="5"/>
  <c r="A30" i="5"/>
  <c r="A31" i="5"/>
  <c r="A32" i="5"/>
  <c r="A28" i="5"/>
  <c r="A2" i="5"/>
  <c r="J10" i="1" a="1"/>
  <c r="J10" i="1" s="1"/>
  <c r="K10" i="1" s="1" a="1"/>
  <c r="K10" i="1" s="1"/>
  <c r="M10" i="1" s="1"/>
  <c r="J14" i="1" a="1"/>
  <c r="J14" i="1" s="1"/>
  <c r="K14" i="1" s="1" a="1"/>
  <c r="K14" i="1" s="1"/>
  <c r="M14" i="1" s="1"/>
  <c r="J4" i="1" a="1"/>
  <c r="J4" i="1" s="1"/>
  <c r="K4" i="1" s="1" a="1"/>
  <c r="K4" i="1" s="1"/>
  <c r="M4" i="1" s="1"/>
  <c r="J9" i="1" a="1"/>
  <c r="J9" i="1" s="1"/>
  <c r="K9" i="1" s="1" a="1"/>
  <c r="K9" i="1" s="1"/>
  <c r="M9" i="1" s="1"/>
  <c r="L9" i="1"/>
  <c r="J13" i="1" a="1"/>
  <c r="J13" i="1" s="1"/>
  <c r="K13" i="1" s="1" a="1"/>
  <c r="K13" i="1" s="1"/>
  <c r="M13" i="1" s="1"/>
  <c r="L13" i="1"/>
  <c r="J16" i="1" a="1"/>
  <c r="J16" i="1" s="1"/>
  <c r="K16" i="1" s="1" a="1"/>
  <c r="K16" i="1" s="1"/>
  <c r="M16" i="1" s="1"/>
  <c r="L16" i="1"/>
  <c r="J15" i="1" a="1"/>
  <c r="J15" i="1" s="1"/>
  <c r="K15" i="1" s="1" a="1"/>
  <c r="K15" i="1" s="1"/>
  <c r="M15" i="1" s="1"/>
  <c r="L15" i="1"/>
  <c r="J5" i="1" a="1"/>
  <c r="J5" i="1" s="1"/>
  <c r="K5" i="1" s="1" a="1"/>
  <c r="K5" i="1" s="1"/>
  <c r="M5" i="1" s="1"/>
  <c r="L5" i="1"/>
  <c r="J6" i="1" a="1"/>
  <c r="J6" i="1" s="1"/>
  <c r="K6" i="1" s="1" a="1"/>
  <c r="K6" i="1" s="1"/>
  <c r="M6" i="1" s="1"/>
  <c r="L6" i="1"/>
  <c r="L4" i="1"/>
  <c r="J12" i="1" a="1"/>
  <c r="J12" i="1" s="1"/>
  <c r="K12" i="1" s="1" a="1"/>
  <c r="K12" i="1" s="1"/>
  <c r="M12" i="1" s="1"/>
  <c r="L12" i="1"/>
  <c r="J11" i="1" a="1"/>
  <c r="J11" i="1" s="1"/>
  <c r="K11" i="1" s="1" a="1"/>
  <c r="K11" i="1" s="1"/>
  <c r="M11" i="1" s="1"/>
  <c r="L11" i="1"/>
  <c r="L10" i="1"/>
  <c r="J8" i="1" a="1"/>
  <c r="J8" i="1" s="1"/>
  <c r="K8" i="1" s="1" a="1"/>
  <c r="K8" i="1" s="1"/>
  <c r="M8" i="1" s="1"/>
  <c r="L8" i="1"/>
  <c r="L14" i="1"/>
  <c r="J7" i="1" a="1"/>
  <c r="J7" i="1" s="1"/>
  <c r="K7" i="1" s="1" a="1"/>
  <c r="K7" i="1" s="1"/>
  <c r="M7" i="1" s="1"/>
  <c r="L7" i="1"/>
  <c r="G29" i="5"/>
  <c r="G16" i="5"/>
  <c r="H9" i="5"/>
  <c r="G30" i="5"/>
  <c r="B17" i="5"/>
  <c r="M4" i="5"/>
  <c r="G31" i="5"/>
  <c r="B18" i="5"/>
  <c r="H4" i="5"/>
  <c r="B29" i="5"/>
  <c r="B20" i="5"/>
  <c r="M9" i="5"/>
  <c r="G28" i="5"/>
  <c r="B19" i="5"/>
  <c r="B32" i="5"/>
  <c r="B30" i="5"/>
  <c r="B16" i="5"/>
  <c r="G32" i="5"/>
  <c r="B28" i="5"/>
  <c r="B31" i="5"/>
  <c r="G17" i="5"/>
  <c r="C31" i="5" l="1"/>
  <c r="H32" i="5"/>
  <c r="C32" i="5"/>
  <c r="C28" i="5"/>
  <c r="C30" i="5"/>
  <c r="C29" i="5"/>
  <c r="H28" i="5"/>
  <c r="H31" i="5"/>
  <c r="H30" i="5"/>
  <c r="H29" i="5"/>
  <c r="H16" i="5"/>
  <c r="H17" i="5"/>
  <c r="C16" i="5"/>
  <c r="D16" i="5" s="1"/>
  <c r="C20" i="5"/>
  <c r="D20" i="5" s="1"/>
  <c r="C19" i="5"/>
  <c r="D19" i="5" s="1"/>
  <c r="C18" i="5"/>
  <c r="D18" i="5" s="1"/>
  <c r="C17" i="5"/>
  <c r="D17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0116E4-2EB8-45DA-A688-B5EEF649C24B}" name="Query - Tickets" description="Connection to the 'Tickets' query in the workbook." type="100" refreshedVersion="8" minRefreshableVersion="5">
    <extLst>
      <ext xmlns:x15="http://schemas.microsoft.com/office/spreadsheetml/2010/11/main" uri="{DE250136-89BD-433C-8126-D09CA5730AF9}">
        <x15:connection id="cbed9609-a642-46e5-a13b-68a34a315083"/>
      </ext>
    </extLst>
  </connection>
  <connection id="2" xr16:uid="{B2535986-792F-4711-AEE1-3B03EE04E8D2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<sst xmlns="http://schemas.openxmlformats.org/spreadsheetml/2006/main" count="242" uniqueCount="105">
  <si>
    <t>Service Desk Tickets</t>
  </si>
  <si>
    <t>Ticket ID</t>
  </si>
  <si>
    <t>Ticket Creation Date</t>
  </si>
  <si>
    <t>Contact Name</t>
  </si>
  <si>
    <t>Contact E-mail Address</t>
  </si>
  <si>
    <t>Contact Food Bank</t>
  </si>
  <si>
    <t>Product</t>
  </si>
  <si>
    <t>Issue Type</t>
  </si>
  <si>
    <t>Issue</t>
  </si>
  <si>
    <t>Priority Level</t>
  </si>
  <si>
    <t>Service Desk Work</t>
  </si>
  <si>
    <t>Work Date</t>
  </si>
  <si>
    <t>Work Description</t>
  </si>
  <si>
    <t>New Ticket Status</t>
  </si>
  <si>
    <t>Food Bank</t>
  </si>
  <si>
    <t>Greater Chicago Food Depository</t>
  </si>
  <si>
    <t>Three Square Food Bank</t>
  </si>
  <si>
    <t>Bug</t>
  </si>
  <si>
    <t>Feature Request</t>
  </si>
  <si>
    <t>Normal</t>
  </si>
  <si>
    <t>Low</t>
  </si>
  <si>
    <t>High</t>
  </si>
  <si>
    <t>MealConnect</t>
  </si>
  <si>
    <t>OrderAhead</t>
  </si>
  <si>
    <t>2022101-1</t>
  </si>
  <si>
    <t>2022101-2</t>
  </si>
  <si>
    <t>Last Status Date</t>
  </si>
  <si>
    <t>Status</t>
  </si>
  <si>
    <t>Age</t>
  </si>
  <si>
    <t>Not Started</t>
  </si>
  <si>
    <t>In Progress</t>
  </si>
  <si>
    <t>Waiting on User</t>
  </si>
  <si>
    <t>Resolved</t>
  </si>
  <si>
    <t>Escalated</t>
  </si>
  <si>
    <t>Regis</t>
  </si>
  <si>
    <t>regis.whaley@gmail.com</t>
  </si>
  <si>
    <t>regis.whaley@outlook.com</t>
  </si>
  <si>
    <t>I'm having an issue.</t>
  </si>
  <si>
    <t>This would be cool.</t>
  </si>
  <si>
    <t>Michael Scott</t>
  </si>
  <si>
    <t>Pam Halpert</t>
  </si>
  <si>
    <t>Jim Halpert</t>
  </si>
  <si>
    <t>Dwight Schrute</t>
  </si>
  <si>
    <t>Angela Schrute</t>
  </si>
  <si>
    <t>Oscar Martinez</t>
  </si>
  <si>
    <t>Kevin Malone</t>
  </si>
  <si>
    <t>Phyllis Vance</t>
  </si>
  <si>
    <t>Stanley Hudson</t>
  </si>
  <si>
    <t>Andy Bernard</t>
  </si>
  <si>
    <t>Erin Hannon</t>
  </si>
  <si>
    <t>michael.scott@dundermifflin.com</t>
  </si>
  <si>
    <t>pam.halpert@dundermifflin.com</t>
  </si>
  <si>
    <t>jim.halpert@dundermifflin.com</t>
  </si>
  <si>
    <t>dwight.schrute@dundermifflin.com</t>
  </si>
  <si>
    <t>angela.schrute@dundermifflin.com</t>
  </si>
  <si>
    <t>oscar.martinez@dundermifflin.com</t>
  </si>
  <si>
    <t>kevin.malone@dundermifflin.com</t>
  </si>
  <si>
    <t>phyllis.vance@dundermifflin.com</t>
  </si>
  <si>
    <t>stanley.hudson@dundermifflin.com</t>
  </si>
  <si>
    <t>andy.bernard@dundermifflin.com</t>
  </si>
  <si>
    <t>erin.hannon@dundermifflin.com</t>
  </si>
  <si>
    <t>202281-1</t>
  </si>
  <si>
    <t>202288-1</t>
  </si>
  <si>
    <t>2022821-1</t>
  </si>
  <si>
    <t>202291-1</t>
  </si>
  <si>
    <t>202291-2</t>
  </si>
  <si>
    <t>202291-3</t>
  </si>
  <si>
    <t>2022913-1</t>
  </si>
  <si>
    <t>2022921-1</t>
  </si>
  <si>
    <t>2022930-1</t>
  </si>
  <si>
    <t>2022102-1</t>
  </si>
  <si>
    <t>2022102-2</t>
  </si>
  <si>
    <t>I did some work</t>
  </si>
  <si>
    <t>Easy problem</t>
  </si>
  <si>
    <t>Way too hard for tier 1</t>
  </si>
  <si>
    <t>Need clarification</t>
  </si>
  <si>
    <t>Service Desk Dashboard</t>
  </si>
  <si>
    <t>Ticket Status Pipeline</t>
  </si>
  <si>
    <t>Count</t>
  </si>
  <si>
    <t>Tickets Submitted</t>
  </si>
  <si>
    <t>Tickets Resolved</t>
  </si>
  <si>
    <t>Tickets Escalated</t>
  </si>
  <si>
    <t>Percent</t>
  </si>
  <si>
    <t>Time to Resolution</t>
  </si>
  <si>
    <t>Row Labels</t>
  </si>
  <si>
    <t>Grand Total</t>
  </si>
  <si>
    <t>Count of Status</t>
  </si>
  <si>
    <t>Top Food Banks</t>
  </si>
  <si>
    <t>Count of Contact Food Bank</t>
  </si>
  <si>
    <t>Top Contacts</t>
  </si>
  <si>
    <t>Count of Contact Name</t>
  </si>
  <si>
    <t>Ticket Status</t>
  </si>
  <si>
    <t>Count of Issue Type</t>
  </si>
  <si>
    <t>Top 5 Food Banks</t>
  </si>
  <si>
    <t>Top 5 Food Bankers</t>
  </si>
  <si>
    <t>Food Banker</t>
  </si>
  <si>
    <t>Northern Illinois Food Bank</t>
  </si>
  <si>
    <t>Food Bank of Northern Nevada</t>
  </si>
  <si>
    <t>Second Harvest Food Bank</t>
  </si>
  <si>
    <t>Average of Time to Resolution</t>
  </si>
  <si>
    <t>Average Days to Resolution</t>
  </si>
  <si>
    <t>2022104-1</t>
  </si>
  <si>
    <t>The report isn't working.</t>
  </si>
  <si>
    <t>e-mailed user</t>
  </si>
  <si>
    <t>e-mailed Andy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</si>
</sst>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F800]dddd\,\ mmmm\ dd\,\ yyyy"/>
  </numFmts>
  <fonts count="1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1"/>
      <color theme="5"/>
      <name val="Playbill"/>
      <family val="5"/>
    </font>
    <font>
      <sz val="11"/>
      <color theme="9" tint="-0.249977111117893"/>
      <name val="Playbill"/>
      <family val="5"/>
    </font>
    <font>
      <sz val="11"/>
      <color rgb="FF00B050"/>
      <name val="Playbill"/>
      <family val="5"/>
    </font>
    <font>
      <sz val="11"/>
      <color theme="4"/>
      <name val="Playbill"/>
      <family val="5"/>
    </font>
    <font>
      <sz val="11"/>
      <color theme="2" tint="-0.249977111117893"/>
      <name val="Playbill"/>
      <family val="5"/>
    </font>
    <font>
      <b/>
      <sz val="24"/>
      <color theme="1"/>
      <name val="Calibri"/>
      <family val="2"/>
      <scheme val="minor"/>
    </font>
    <font>
      <b/>
      <sz val="12"/>
      <color indexed="17"/>
      <name val="Calibri"/>
      <family val="2"/>
    </font>
    <font>
      <b/>
      <sz val="12"/>
      <color indexed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23">
    <xf numFmtId="0" fontId="0" fillId="0" borderId="0" xfId="0"/>
    <xf numFmtId="0" fontId="2" fillId="0" borderId="0" xfId="0" applyFont="1"/>
    <xf numFmtId="0" fontId="3" fillId="0" borderId="0" xfId="1" applyFont="1"/>
    <xf numFmtId="0" fontId="0" fillId="0" borderId="0" xfId="0" applyNumberFormat="1"/>
    <xf numFmtId="164" fontId="0" fillId="0" borderId="0" xfId="0" applyNumberFormat="1"/>
    <xf numFmtId="0" fontId="1" fillId="0" borderId="0" xfId="1"/>
    <xf numFmtId="0" fontId="6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65" fontId="8" fillId="0" borderId="0" xfId="0" applyNumberFormat="1" applyFont="1" applyAlignment="1">
      <alignment horizontal="left"/>
    </xf>
    <xf numFmtId="0" fontId="6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 applyAlignment="1">
      <alignment horizontal="center"/>
    </xf>
    <xf numFmtId="0" fontId="5" fillId="2" borderId="0" xfId="0" applyFont="1" applyFill="1" applyAlignment="1">
      <alignment horizontal="centerContinuous"/>
    </xf>
    <xf numFmtId="0" fontId="7" fillId="2" borderId="0" xfId="0" applyFont="1" applyFill="1" applyAlignment="1">
      <alignment horizontal="centerContinuous"/>
    </xf>
    <xf numFmtId="0" fontId="9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4" fillId="0" borderId="0" xfId="0" applyFont="1" applyAlignment="1">
      <alignment horizontal="center" vertical="center"/>
    </xf>
  </cellXfs>
  <cellStyles count="3">
    <cellStyle name="Hyperlink" xfId="1" builtinId="8"/>
    <cellStyle name="Normal" xfId="0" builtinId="0"/>
    <cellStyle name="Percent" xfId="2" builtinId="5"/>
  </cellStyles>
  <dxfs count="5">
    <dxf>
      <numFmt numFmtId="164" formatCode="[$-409]m/d/yyyy\ h:mm\ AM/PM;@"/>
    </dxf>
    <dxf>
      <numFmt numFmtId="0" formatCode="General"/>
    </dxf>
    <dxf>
      <numFmt numFmtId="0" formatCode="General"/>
    </dxf>
    <dxf>
      <numFmt numFmtId="164" formatCode="[$-409]m/d/yyyy\ h:mm\ AM/PM;@"/>
    </dxf>
    <dxf>
      <numFmt numFmtId="164" formatCode="[$-409]m/d/yyyy\ h:mm\ AM/PM;@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9" Type="http://schemas.openxmlformats.org/officeDocument/2006/relationships/customXml" Target="../customXml/item21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11/relationships/timelineCache" Target="timelineCaches/timelineCache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40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pivotCacheDefinition" Target="pivotCache/pivotCacheDefinition5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styles" Target="style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openxmlformats.org/officeDocument/2006/relationships/customXml" Target="../customXml/item2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457-4FED-A41B-616CA128783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457-4FED-A41B-616CA128783C}"/>
              </c:ext>
            </c:extLst>
          </c:dPt>
          <c:cat>
            <c:strRef>
              <c:f>Dashboard!$F$16:$F$17</c:f>
              <c:strCache>
                <c:ptCount val="2"/>
                <c:pt idx="0">
                  <c:v>Bug</c:v>
                </c:pt>
                <c:pt idx="1">
                  <c:v>Feature Request</c:v>
                </c:pt>
              </c:strCache>
            </c:strRef>
          </c:cat>
          <c:val>
            <c:numRef>
              <c:f>Dashboard!$G$16:$G$17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CD-450C-8556-8EED86E4C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svg"/><Relationship Id="rId7" Type="http://schemas.openxmlformats.org/officeDocument/2006/relationships/image" Target="../media/image6.sv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svg"/><Relationship Id="rId4" Type="http://schemas.openxmlformats.org/officeDocument/2006/relationships/image" Target="../media/image3.png"/><Relationship Id="rId9" Type="http://schemas.openxmlformats.org/officeDocument/2006/relationships/image" Target="../media/image8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5</xdr:col>
      <xdr:colOff>514350</xdr:colOff>
      <xdr:row>11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Ticket Creation Date">
              <a:extLst>
                <a:ext uri="{FF2B5EF4-FFF2-40B4-BE49-F238E27FC236}">
                  <a16:creationId xmlns:a16="http://schemas.microsoft.com/office/drawing/2014/main" id="{3B3F2F18-C4DF-9B19-7211-B64036CBC2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Ticket Creation 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657225"/>
              <a:ext cx="6134100" cy="152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4</xdr:col>
      <xdr:colOff>609599</xdr:colOff>
      <xdr:row>18</xdr:row>
      <xdr:rowOff>0</xdr:rowOff>
    </xdr:from>
    <xdr:to>
      <xdr:col>8</xdr:col>
      <xdr:colOff>0</xdr:colOff>
      <xdr:row>23</xdr:row>
      <xdr:rowOff>185736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0BCB737-99EF-8FA5-8389-75DB2484F4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400050</xdr:colOff>
      <xdr:row>7</xdr:row>
      <xdr:rowOff>28575</xdr:rowOff>
    </xdr:from>
    <xdr:to>
      <xdr:col>12</xdr:col>
      <xdr:colOff>95250</xdr:colOff>
      <xdr:row>11</xdr:row>
      <xdr:rowOff>180975</xdr:rowOff>
    </xdr:to>
    <xdr:pic>
      <xdr:nvPicPr>
        <xdr:cNvPr id="5" name="Graphic 4" descr="Upstairs with solid fill">
          <a:extLst>
            <a:ext uri="{FF2B5EF4-FFF2-40B4-BE49-F238E27FC236}">
              <a16:creationId xmlns:a16="http://schemas.microsoft.com/office/drawing/2014/main" id="{D96F07B2-04EA-4AD1-420A-ABD779C71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86875" y="14478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235725</xdr:colOff>
      <xdr:row>7</xdr:row>
      <xdr:rowOff>111900</xdr:rowOff>
    </xdr:from>
    <xdr:to>
      <xdr:col>7</xdr:col>
      <xdr:colOff>111900</xdr:colOff>
      <xdr:row>12</xdr:row>
      <xdr:rowOff>73800</xdr:rowOff>
    </xdr:to>
    <xdr:pic>
      <xdr:nvPicPr>
        <xdr:cNvPr id="7" name="Graphic 6" descr="Stopwatch 75% with solid fill">
          <a:extLst>
            <a:ext uri="{FF2B5EF4-FFF2-40B4-BE49-F238E27FC236}">
              <a16:creationId xmlns:a16="http://schemas.microsoft.com/office/drawing/2014/main" id="{C22740A6-2D40-EAE4-1ACC-008BB9BBA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6255525" y="15311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500025</xdr:colOff>
      <xdr:row>2</xdr:row>
      <xdr:rowOff>128550</xdr:rowOff>
    </xdr:from>
    <xdr:to>
      <xdr:col>12</xdr:col>
      <xdr:colOff>195225</xdr:colOff>
      <xdr:row>7</xdr:row>
      <xdr:rowOff>90450</xdr:rowOff>
    </xdr:to>
    <xdr:pic>
      <xdr:nvPicPr>
        <xdr:cNvPr id="9" name="Graphic 8" descr="Checkbox Checked with solid fill">
          <a:extLst>
            <a:ext uri="{FF2B5EF4-FFF2-40B4-BE49-F238E27FC236}">
              <a16:creationId xmlns:a16="http://schemas.microsoft.com/office/drawing/2014/main" id="{235E31E5-1EF7-3BE3-A3CD-FAA420E47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9386850" y="5952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269025</xdr:colOff>
      <xdr:row>2</xdr:row>
      <xdr:rowOff>116625</xdr:rowOff>
    </xdr:from>
    <xdr:to>
      <xdr:col>7</xdr:col>
      <xdr:colOff>145200</xdr:colOff>
      <xdr:row>7</xdr:row>
      <xdr:rowOff>78525</xdr:rowOff>
    </xdr:to>
    <xdr:pic>
      <xdr:nvPicPr>
        <xdr:cNvPr id="11" name="Graphic 10" descr="Document with solid fill">
          <a:extLst>
            <a:ext uri="{FF2B5EF4-FFF2-40B4-BE49-F238E27FC236}">
              <a16:creationId xmlns:a16="http://schemas.microsoft.com/office/drawing/2014/main" id="{C172712E-834C-3C98-3DDF-B7273D7B7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6288825" y="583350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18</xdr:row>
          <xdr:rowOff>0</xdr:rowOff>
        </xdr:from>
        <xdr:to>
          <xdr:col>13</xdr:col>
          <xdr:colOff>0</xdr:colOff>
          <xdr:row>20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972D2EC0-5D9E-3B9B-841F-39D6E900E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New Ticket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104776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3B3604C6-EB25-BAB6-3B8C-52EAA68527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Work on a Ticket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egis Whaley" refreshedDate="44838.789349189814" backgroundQuery="1" createdVersion="8" refreshedVersion="8" minRefreshableVersion="3" recordCount="0" supportSubquery="1" supportAdvancedDrill="1" xr:uid="{CF729766-C620-44B9-AC3E-E569FDAE61A2}">
  <cacheSource type="external" connectionId="2"/>
  <cacheFields count="3">
    <cacheField name="[Tickets].[Contact Food Bank].[Contact Food Bank]" caption="Contact Food Bank" numFmtId="0" hierarchy="4" level="1">
      <sharedItems count="5">
        <s v="Food Bank of Northern Nevada"/>
        <s v="Greater Chicago Food Depository"/>
        <s v="Northern Illinois Food Bank"/>
        <s v="Second Harvest Food Bank"/>
        <s v="Three Square Food Bank"/>
      </sharedItems>
    </cacheField>
    <cacheField name="[Measures].[Count of Contact Food Bank]" caption="Count of Contact Food Bank" numFmtId="0" hierarchy="23" level="32767"/>
    <cacheField name="[Tickets].[Ticket Creation Date].[Ticket Creation Date]" caption="Ticket Creation Date" numFmtId="0" hierarchy="1" level="1">
      <sharedItems containsSemiMixedTypes="0" containsNonDate="0" containsString="0"/>
    </cacheField>
  </cacheFields>
  <cacheHierarchies count="28">
    <cacheHierarchy uniqueName="[Tickets].[Ticket ID]" caption="Ticket ID" attribute="1" defaultMemberUniqueName="[Tickets].[Ticket ID].[All]" allUniqueName="[Tickets].[Ticket ID].[All]" dimensionUniqueName="[Tickets]" displayFolder="" count="0" memberValueDatatype="130" unbalanced="0"/>
    <cacheHierarchy uniqueName="[Tickets].[Ticket Creation Date]" caption="Ticket Creation Date" attribute="1" time="1" defaultMemberUniqueName="[Tickets].[Ticket Creation Date].[All]" allUniqueName="[Tickets].[Ticket Creation Date].[All]" dimensionUniqueName="[Tickets]" displayFolder="" count="2" memberValueDatatype="7" unbalanced="0">
      <fieldsUsage count="2">
        <fieldUsage x="-1"/>
        <fieldUsage x="2"/>
      </fieldsUsage>
    </cacheHierarchy>
    <cacheHierarchy uniqueName="[Tickets].[Contact Name]" caption="Contact Name" attribute="1" defaultMemberUniqueName="[Tickets].[Contact Name].[All]" allUniqueName="[Tickets].[Contact Name].[All]" dimensionUniqueName="[Tickets]" displayFolder="" count="0" memberValueDatatype="130" unbalanced="0"/>
    <cacheHierarchy uniqueName="[Tickets].[Contact E-mail Address]" caption="Contact E-mail Address" attribute="1" defaultMemberUniqueName="[Tickets].[Contact E-mail Address].[All]" allUniqueName="[Tickets].[Contact E-mail Address].[All]" dimensionUniqueName="[Tickets]" displayFolder="" count="0" memberValueDatatype="130" unbalanced="0"/>
    <cacheHierarchy uniqueName="[Tickets].[Contact Food Bank]" caption="Contact Food Bank" attribute="1" defaultMemberUniqueName="[Tickets].[Contact Food Bank].[All]" allUniqueName="[Tickets].[Contact Food Bank].[All]" dimensionUniqueName="[Tickets]" displayFolder="" count="2" memberValueDatatype="130" unbalanced="0">
      <fieldsUsage count="2">
        <fieldUsage x="-1"/>
        <fieldUsage x="0"/>
      </fieldsUsage>
    </cacheHierarchy>
    <cacheHierarchy uniqueName="[Tickets].[Product]" caption="Product" attribute="1" defaultMemberUniqueName="[Tickets].[Product].[All]" allUniqueName="[Tickets].[Product].[All]" dimensionUniqueName="[Tickets]" displayFolder="" count="0" memberValueDatatype="130" unbalanced="0"/>
    <cacheHierarchy uniqueName="[Tickets].[Issue Type]" caption="Issue Type" attribute="1" defaultMemberUniqueName="[Tickets].[Issue Type].[All]" allUniqueName="[Tickets].[Issue Type].[All]" dimensionUniqueName="[Tickets]" displayFolder="" count="0" memberValueDatatype="130" unbalanced="0"/>
    <cacheHierarchy uniqueName="[Tickets].[Issue]" caption="Issue" attribute="1" defaultMemberUniqueName="[Tickets].[Issue].[All]" allUniqueName="[Tickets].[Issue].[All]" dimensionUniqueName="[Tickets]" displayFolder="" count="0" memberValueDatatype="130" unbalanced="0"/>
    <cacheHierarchy uniqueName="[Tickets].[Priority Level]" caption="Priority Level" attribute="1" defaultMemberUniqueName="[Tickets].[Priority Level].[All]" allUniqueName="[Tickets].[Priority Level].[All]" dimensionUniqueName="[Tickets]" displayFolder="" count="0" memberValueDatatype="130" unbalanced="0"/>
    <cacheHierarchy uniqueName="[Tickets].[Last Status Date]" caption="Last Status Date" attribute="1" time="1" defaultMemberUniqueName="[Tickets].[Last Status Date].[All]" allUniqueName="[Tickets].[Last Status Date].[All]" dimensionUniqueName="[Tickets]" displayFolder="" count="0" memberValueDatatype="7" unbalanced="0"/>
    <cacheHierarchy uniqueName="[Tickets].[Status]" caption="Status" attribute="1" defaultMemberUniqueName="[Tickets].[Status].[All]" allUniqueName="[Tickets].[Status].[All]" dimensionUniqueName="[Tickets]" displayFolder="" count="0" memberValueDatatype="130" unbalanced="0"/>
    <cacheHierarchy uniqueName="[Tickets].[Age]" caption="Age" attribute="1" defaultMemberUniqueName="[Tickets].[Age].[All]" allUniqueName="[Tickets].[Age].[All]" dimensionUniqueName="[Tickets]" displayFolder="" count="0" memberValueDatatype="20" unbalanced="0"/>
    <cacheHierarchy uniqueName="[Tickets].[Time to Resolution]" caption="Time to Resolution" attribute="1" defaultMemberUniqueName="[Tickets].[Time to Resolution].[All]" allUniqueName="[Tickets].[Time to Resolution].[All]" dimensionUniqueName="[Tickets]" displayFolder="" count="0" memberValueDatatype="20" unbalanced="0"/>
    <cacheHierarchy uniqueName="[Measures].[Contact_Food_Bank_Count]" caption="Contact_Food_Bank_Count" measure="1" displayFolder="" measureGroup="Tickets" count="0"/>
    <cacheHierarchy uniqueName="[Measures].[Contact_Name_Count]" caption="Contact_Name_Count" measure="1" displayFolder="" measureGroup="Tickets" count="0"/>
    <cacheHierarchy uniqueName="[Measures].[Product_Count]" caption="Product_Count" measure="1" displayFolder="" measureGroup="Tickets" count="0"/>
    <cacheHierarchy uniqueName="[Measures].[Issue_Type_Count]" caption="Issue_Type_Count" measure="1" displayFolder="" measureGroup="Tickets" count="0"/>
    <cacheHierarchy uniqueName="[Measures].[Priority_Level_Count]" caption="Priority_Level_Count" measure="1" displayFolder="" measureGroup="Tickets" count="0"/>
    <cacheHierarchy uniqueName="[Measures].[Status_Count]" caption="Status_Count" measure="1" displayFolder="" measureGroup="Tickets" count="0"/>
    <cacheHierarchy uniqueName="[Measures].[Average_Age]" caption="Average_Age" measure="1" displayFolder="" measureGroup="Tickets" count="0"/>
    <cacheHierarchy uniqueName="[Measures].[__XL_Count Tickets]" caption="__XL_Count Tickets" measure="1" displayFolder="" measureGroup="Tickets" count="0" hidden="1"/>
    <cacheHierarchy uniqueName="[Measures].[__No measures defined]" caption="__No measures defined" measure="1" displayFolder="" count="0" hidden="1"/>
    <cacheHierarchy uniqueName="[Measures].[Count of Status]" caption="Count of Status" measure="1" displayFolder="" measureGroup="Ticke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Contact Food Bank]" caption="Count of Contact Food Bank" measure="1" displayFolder="" measureGroup="Ticke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unt of Contact Name]" caption="Count of Contact Name" measure="1" displayFolder="" measureGroup="Ticket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Count of Issue Type]" caption="Count of Issue Type" measure="1" displayFolder="" measureGroup="Ticke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unt of Time to Resolution]" caption="Count of Time to Resolution" measure="1" displayFolder="" measureGroup="Ticke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Average of Time to Resolution]" caption="Average of Time to Resolution" measure="1" displayFolder="" measureGroup="Ticke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2">
    <dimension measure="1" name="Measures" uniqueName="[Measures]" caption="Measures"/>
    <dimension name="Tickets" uniqueName="[Tickets]" caption="Tickets"/>
  </dimensions>
  <measureGroups count="1">
    <measureGroup name="Tickets" caption="Ticket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egis Whaley" refreshedDate="44838.78934988426" backgroundQuery="1" createdVersion="8" refreshedVersion="8" minRefreshableVersion="3" recordCount="0" supportSubquery="1" supportAdvancedDrill="1" xr:uid="{32239939-6F8A-4715-BFDF-F6330BBB7E94}">
  <cacheSource type="external" connectionId="2"/>
  <cacheFields count="3">
    <cacheField name="[Tickets].[Contact Name].[Contact Name]" caption="Contact Name" numFmtId="0" hierarchy="2" level="1">
      <sharedItems count="12">
        <s v="Andy Bernard"/>
        <s v="Angela Schrute"/>
        <s v="Dwight Schrute"/>
        <s v="Erin Hannon"/>
        <s v="Jim Halpert"/>
        <s v="Kevin Malone"/>
        <s v="Michael Scott"/>
        <s v="Oscar Martinez"/>
        <s v="Pam Halpert"/>
        <s v="Phyllis Vance"/>
        <s v="Regis"/>
        <s v="Stanley Hudson"/>
      </sharedItems>
    </cacheField>
    <cacheField name="[Measures].[Count of Contact Name]" caption="Count of Contact Name" numFmtId="0" hierarchy="24" level="32767"/>
    <cacheField name="[Tickets].[Ticket Creation Date].[Ticket Creation Date]" caption="Ticket Creation Date" numFmtId="0" hierarchy="1" level="1">
      <sharedItems containsSemiMixedTypes="0" containsNonDate="0" containsString="0"/>
    </cacheField>
  </cacheFields>
  <cacheHierarchies count="28">
    <cacheHierarchy uniqueName="[Tickets].[Ticket ID]" caption="Ticket ID" attribute="1" defaultMemberUniqueName="[Tickets].[Ticket ID].[All]" allUniqueName="[Tickets].[Ticket ID].[All]" dimensionUniqueName="[Tickets]" displayFolder="" count="0" memberValueDatatype="130" unbalanced="0"/>
    <cacheHierarchy uniqueName="[Tickets].[Ticket Creation Date]" caption="Ticket Creation Date" attribute="1" time="1" defaultMemberUniqueName="[Tickets].[Ticket Creation Date].[All]" allUniqueName="[Tickets].[Ticket Creation Date].[All]" dimensionUniqueName="[Tickets]" displayFolder="" count="2" memberValueDatatype="7" unbalanced="0">
      <fieldsUsage count="2">
        <fieldUsage x="-1"/>
        <fieldUsage x="2"/>
      </fieldsUsage>
    </cacheHierarchy>
    <cacheHierarchy uniqueName="[Tickets].[Contact Name]" caption="Contact Name" attribute="1" defaultMemberUniqueName="[Tickets].[Contact Name].[All]" allUniqueName="[Tickets].[Contact Name].[All]" dimensionUniqueName="[Tickets]" displayFolder="" count="2" memberValueDatatype="130" unbalanced="0">
      <fieldsUsage count="2">
        <fieldUsage x="-1"/>
        <fieldUsage x="0"/>
      </fieldsUsage>
    </cacheHierarchy>
    <cacheHierarchy uniqueName="[Tickets].[Contact E-mail Address]" caption="Contact E-mail Address" attribute="1" defaultMemberUniqueName="[Tickets].[Contact E-mail Address].[All]" allUniqueName="[Tickets].[Contact E-mail Address].[All]" dimensionUniqueName="[Tickets]" displayFolder="" count="0" memberValueDatatype="130" unbalanced="0"/>
    <cacheHierarchy uniqueName="[Tickets].[Contact Food Bank]" caption="Contact Food Bank" attribute="1" defaultMemberUniqueName="[Tickets].[Contact Food Bank].[All]" allUniqueName="[Tickets].[Contact Food Bank].[All]" dimensionUniqueName="[Tickets]" displayFolder="" count="0" memberValueDatatype="130" unbalanced="0"/>
    <cacheHierarchy uniqueName="[Tickets].[Product]" caption="Product" attribute="1" defaultMemberUniqueName="[Tickets].[Product].[All]" allUniqueName="[Tickets].[Product].[All]" dimensionUniqueName="[Tickets]" displayFolder="" count="0" memberValueDatatype="130" unbalanced="0"/>
    <cacheHierarchy uniqueName="[Tickets].[Issue Type]" caption="Issue Type" attribute="1" defaultMemberUniqueName="[Tickets].[Issue Type].[All]" allUniqueName="[Tickets].[Issue Type].[All]" dimensionUniqueName="[Tickets]" displayFolder="" count="0" memberValueDatatype="130" unbalanced="0"/>
    <cacheHierarchy uniqueName="[Tickets].[Issue]" caption="Issue" attribute="1" defaultMemberUniqueName="[Tickets].[Issue].[All]" allUniqueName="[Tickets].[Issue].[All]" dimensionUniqueName="[Tickets]" displayFolder="" count="0" memberValueDatatype="130" unbalanced="0"/>
    <cacheHierarchy uniqueName="[Tickets].[Priority Level]" caption="Priority Level" attribute="1" defaultMemberUniqueName="[Tickets].[Priority Level].[All]" allUniqueName="[Tickets].[Priority Level].[All]" dimensionUniqueName="[Tickets]" displayFolder="" count="0" memberValueDatatype="130" unbalanced="0"/>
    <cacheHierarchy uniqueName="[Tickets].[Last Status Date]" caption="Last Status Date" attribute="1" time="1" defaultMemberUniqueName="[Tickets].[Last Status Date].[All]" allUniqueName="[Tickets].[Last Status Date].[All]" dimensionUniqueName="[Tickets]" displayFolder="" count="0" memberValueDatatype="7" unbalanced="0"/>
    <cacheHierarchy uniqueName="[Tickets].[Status]" caption="Status" attribute="1" defaultMemberUniqueName="[Tickets].[Status].[All]" allUniqueName="[Tickets].[Status].[All]" dimensionUniqueName="[Tickets]" displayFolder="" count="0" memberValueDatatype="130" unbalanced="0"/>
    <cacheHierarchy uniqueName="[Tickets].[Age]" caption="Age" attribute="1" defaultMemberUniqueName="[Tickets].[Age].[All]" allUniqueName="[Tickets].[Age].[All]" dimensionUniqueName="[Tickets]" displayFolder="" count="0" memberValueDatatype="20" unbalanced="0"/>
    <cacheHierarchy uniqueName="[Tickets].[Time to Resolution]" caption="Time to Resolution" attribute="1" defaultMemberUniqueName="[Tickets].[Time to Resolution].[All]" allUniqueName="[Tickets].[Time to Resolution].[All]" dimensionUniqueName="[Tickets]" displayFolder="" count="0" memberValueDatatype="20" unbalanced="0"/>
    <cacheHierarchy uniqueName="[Measures].[Contact_Food_Bank_Count]" caption="Contact_Food_Bank_Count" measure="1" displayFolder="" measureGroup="Tickets" count="0"/>
    <cacheHierarchy uniqueName="[Measures].[Contact_Name_Count]" caption="Contact_Name_Count" measure="1" displayFolder="" measureGroup="Tickets" count="0"/>
    <cacheHierarchy uniqueName="[Measures].[Product_Count]" caption="Product_Count" measure="1" displayFolder="" measureGroup="Tickets" count="0"/>
    <cacheHierarchy uniqueName="[Measures].[Issue_Type_Count]" caption="Issue_Type_Count" measure="1" displayFolder="" measureGroup="Tickets" count="0"/>
    <cacheHierarchy uniqueName="[Measures].[Priority_Level_Count]" caption="Priority_Level_Count" measure="1" displayFolder="" measureGroup="Tickets" count="0"/>
    <cacheHierarchy uniqueName="[Measures].[Status_Count]" caption="Status_Count" measure="1" displayFolder="" measureGroup="Tickets" count="0"/>
    <cacheHierarchy uniqueName="[Measures].[Average_Age]" caption="Average_Age" measure="1" displayFolder="" measureGroup="Tickets" count="0"/>
    <cacheHierarchy uniqueName="[Measures].[__XL_Count Tickets]" caption="__XL_Count Tickets" measure="1" displayFolder="" measureGroup="Tickets" count="0" hidden="1"/>
    <cacheHierarchy uniqueName="[Measures].[__No measures defined]" caption="__No measures defined" measure="1" displayFolder="" count="0" hidden="1"/>
    <cacheHierarchy uniqueName="[Measures].[Count of Status]" caption="Count of Status" measure="1" displayFolder="" measureGroup="Ticke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Contact Food Bank]" caption="Count of Contact Food Bank" measure="1" displayFolder="" measureGroup="Ticket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unt of Contact Name]" caption="Count of Contact Name" measure="1" displayFolder="" measureGroup="Ticke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Count of Issue Type]" caption="Count of Issue Type" measure="1" displayFolder="" measureGroup="Ticke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unt of Time to Resolution]" caption="Count of Time to Resolution" measure="1" displayFolder="" measureGroup="Ticke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Average of Time to Resolution]" caption="Average of Time to Resolution" measure="1" displayFolder="" measureGroup="Ticke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2">
    <dimension measure="1" name="Measures" uniqueName="[Measures]" caption="Measures"/>
    <dimension name="Tickets" uniqueName="[Tickets]" caption="Tickets"/>
  </dimensions>
  <measureGroups count="1">
    <measureGroup name="Tickets" caption="Ticket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egis Whaley" refreshedDate="44838.789350462961" backgroundQuery="1" createdVersion="8" refreshedVersion="8" minRefreshableVersion="3" recordCount="0" supportSubquery="1" supportAdvancedDrill="1" xr:uid="{B5F0DBC5-E929-45B8-B3BC-FDD7124DE551}">
  <cacheSource type="external" connectionId="2"/>
  <cacheFields count="4">
    <cacheField name="[Tickets].[Status].[Status]" caption="Status" numFmtId="0" hierarchy="10" level="1">
      <sharedItems count="5">
        <s v="Escalated"/>
        <s v="In Progress"/>
        <s v="Not Started"/>
        <s v="Resolved"/>
        <s v="Waiting on User"/>
      </sharedItems>
    </cacheField>
    <cacheField name="[Measures].[Count of Status]" caption="Count of Status" numFmtId="0" hierarchy="22" level="32767"/>
    <cacheField name="[Tickets].[Ticket Creation Date].[Ticket Creation Date]" caption="Ticket Creation Date" numFmtId="0" hierarchy="1" level="1">
      <sharedItems containsSemiMixedTypes="0" containsNonDate="0" containsString="0"/>
    </cacheField>
    <cacheField name="[Measures].[Average of Time to Resolution]" caption="Average of Time to Resolution" numFmtId="0" hierarchy="27" level="32767"/>
  </cacheFields>
  <cacheHierarchies count="28">
    <cacheHierarchy uniqueName="[Tickets].[Ticket ID]" caption="Ticket ID" attribute="1" defaultMemberUniqueName="[Tickets].[Ticket ID].[All]" allUniqueName="[Tickets].[Ticket ID].[All]" dimensionUniqueName="[Tickets]" displayFolder="" count="0" memberValueDatatype="130" unbalanced="0"/>
    <cacheHierarchy uniqueName="[Tickets].[Ticket Creation Date]" caption="Ticket Creation Date" attribute="1" time="1" defaultMemberUniqueName="[Tickets].[Ticket Creation Date].[All]" allUniqueName="[Tickets].[Ticket Creation Date].[All]" dimensionUniqueName="[Tickets]" displayFolder="" count="2" memberValueDatatype="7" unbalanced="0">
      <fieldsUsage count="2">
        <fieldUsage x="-1"/>
        <fieldUsage x="2"/>
      </fieldsUsage>
    </cacheHierarchy>
    <cacheHierarchy uniqueName="[Tickets].[Contact Name]" caption="Contact Name" attribute="1" defaultMemberUniqueName="[Tickets].[Contact Name].[All]" allUniqueName="[Tickets].[Contact Name].[All]" dimensionUniqueName="[Tickets]" displayFolder="" count="0" memberValueDatatype="130" unbalanced="0"/>
    <cacheHierarchy uniqueName="[Tickets].[Contact E-mail Address]" caption="Contact E-mail Address" attribute="1" defaultMemberUniqueName="[Tickets].[Contact E-mail Address].[All]" allUniqueName="[Tickets].[Contact E-mail Address].[All]" dimensionUniqueName="[Tickets]" displayFolder="" count="0" memberValueDatatype="130" unbalanced="0"/>
    <cacheHierarchy uniqueName="[Tickets].[Contact Food Bank]" caption="Contact Food Bank" attribute="1" defaultMemberUniqueName="[Tickets].[Contact Food Bank].[All]" allUniqueName="[Tickets].[Contact Food Bank].[All]" dimensionUniqueName="[Tickets]" displayFolder="" count="0" memberValueDatatype="130" unbalanced="0"/>
    <cacheHierarchy uniqueName="[Tickets].[Product]" caption="Product" attribute="1" defaultMemberUniqueName="[Tickets].[Product].[All]" allUniqueName="[Tickets].[Product].[All]" dimensionUniqueName="[Tickets]" displayFolder="" count="0" memberValueDatatype="130" unbalanced="0"/>
    <cacheHierarchy uniqueName="[Tickets].[Issue Type]" caption="Issue Type" attribute="1" defaultMemberUniqueName="[Tickets].[Issue Type].[All]" allUniqueName="[Tickets].[Issue Type].[All]" dimensionUniqueName="[Tickets]" displayFolder="" count="0" memberValueDatatype="130" unbalanced="0"/>
    <cacheHierarchy uniqueName="[Tickets].[Issue]" caption="Issue" attribute="1" defaultMemberUniqueName="[Tickets].[Issue].[All]" allUniqueName="[Tickets].[Issue].[All]" dimensionUniqueName="[Tickets]" displayFolder="" count="0" memberValueDatatype="130" unbalanced="0"/>
    <cacheHierarchy uniqueName="[Tickets].[Priority Level]" caption="Priority Level" attribute="1" defaultMemberUniqueName="[Tickets].[Priority Level].[All]" allUniqueName="[Tickets].[Priority Level].[All]" dimensionUniqueName="[Tickets]" displayFolder="" count="0" memberValueDatatype="130" unbalanced="0"/>
    <cacheHierarchy uniqueName="[Tickets].[Last Status Date]" caption="Last Status Date" attribute="1" time="1" defaultMemberUniqueName="[Tickets].[Last Status Date].[All]" allUniqueName="[Tickets].[Last Status Date].[All]" dimensionUniqueName="[Tickets]" displayFolder="" count="0" memberValueDatatype="7" unbalanced="0"/>
    <cacheHierarchy uniqueName="[Tickets].[Status]" caption="Status" attribute="1" defaultMemberUniqueName="[Tickets].[Status].[All]" allUniqueName="[Tickets].[Status].[All]" dimensionUniqueName="[Tickets]" displayFolder="" count="2" memberValueDatatype="130" unbalanced="0">
      <fieldsUsage count="2">
        <fieldUsage x="-1"/>
        <fieldUsage x="0"/>
      </fieldsUsage>
    </cacheHierarchy>
    <cacheHierarchy uniqueName="[Tickets].[Age]" caption="Age" attribute="1" defaultMemberUniqueName="[Tickets].[Age].[All]" allUniqueName="[Tickets].[Age].[All]" dimensionUniqueName="[Tickets]" displayFolder="" count="0" memberValueDatatype="20" unbalanced="0"/>
    <cacheHierarchy uniqueName="[Tickets].[Time to Resolution]" caption="Time to Resolution" attribute="1" defaultMemberUniqueName="[Tickets].[Time to Resolution].[All]" allUniqueName="[Tickets].[Time to Resolution].[All]" dimensionUniqueName="[Tickets]" displayFolder="" count="0" memberValueDatatype="20" unbalanced="0"/>
    <cacheHierarchy uniqueName="[Measures].[Contact_Food_Bank_Count]" caption="Contact_Food_Bank_Count" measure="1" displayFolder="" measureGroup="Tickets" count="0"/>
    <cacheHierarchy uniqueName="[Measures].[Contact_Name_Count]" caption="Contact_Name_Count" measure="1" displayFolder="" measureGroup="Tickets" count="0"/>
    <cacheHierarchy uniqueName="[Measures].[Product_Count]" caption="Product_Count" measure="1" displayFolder="" measureGroup="Tickets" count="0"/>
    <cacheHierarchy uniqueName="[Measures].[Issue_Type_Count]" caption="Issue_Type_Count" measure="1" displayFolder="" measureGroup="Tickets" count="0"/>
    <cacheHierarchy uniqueName="[Measures].[Priority_Level_Count]" caption="Priority_Level_Count" measure="1" displayFolder="" measureGroup="Tickets" count="0"/>
    <cacheHierarchy uniqueName="[Measures].[Status_Count]" caption="Status_Count" measure="1" displayFolder="" measureGroup="Tickets" count="0"/>
    <cacheHierarchy uniqueName="[Measures].[Average_Age]" caption="Average_Age" measure="1" displayFolder="" measureGroup="Tickets" count="0"/>
    <cacheHierarchy uniqueName="[Measures].[__XL_Count Tickets]" caption="__XL_Count Tickets" measure="1" displayFolder="" measureGroup="Tickets" count="0" hidden="1"/>
    <cacheHierarchy uniqueName="[Measures].[__No measures defined]" caption="__No measures defined" measure="1" displayFolder="" count="0" hidden="1"/>
    <cacheHierarchy uniqueName="[Measures].[Count of Status]" caption="Count of Status" measure="1" displayFolder="" measureGroup="Ticke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Contact Food Bank]" caption="Count of Contact Food Bank" measure="1" displayFolder="" measureGroup="Ticket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unt of Contact Name]" caption="Count of Contact Name" measure="1" displayFolder="" measureGroup="Ticket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Count of Issue Type]" caption="Count of Issue Type" measure="1" displayFolder="" measureGroup="Ticke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unt of Time to Resolution]" caption="Count of Time to Resolution" measure="1" displayFolder="" measureGroup="Ticke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Average of Time to Resolution]" caption="Average of Time to Resolution" measure="1" displayFolder="" measureGroup="Ticket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2">
    <dimension measure="1" name="Measures" uniqueName="[Measures]" caption="Measures"/>
    <dimension name="Tickets" uniqueName="[Tickets]" caption="Tickets"/>
  </dimensions>
  <measureGroups count="1">
    <measureGroup name="Tickets" caption="Ticket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egis Whaley" refreshedDate="44838.789351041669" backgroundQuery="1" createdVersion="8" refreshedVersion="8" minRefreshableVersion="3" recordCount="0" supportSubquery="1" supportAdvancedDrill="1" xr:uid="{CFB2CEE1-FBA7-4D82-954F-A85EC115F3AC}">
  <cacheSource type="external" connectionId="2"/>
  <cacheFields count="3">
    <cacheField name="[Tickets].[Issue Type].[Issue Type]" caption="Issue Type" numFmtId="0" hierarchy="6" level="1">
      <sharedItems count="2">
        <s v="Bug"/>
        <s v="Feature Request"/>
      </sharedItems>
    </cacheField>
    <cacheField name="[Measures].[Count of Issue Type]" caption="Count of Issue Type" numFmtId="0" hierarchy="25" level="32767"/>
    <cacheField name="[Tickets].[Ticket Creation Date].[Ticket Creation Date]" caption="Ticket Creation Date" numFmtId="0" hierarchy="1" level="1">
      <sharedItems containsSemiMixedTypes="0" containsNonDate="0" containsString="0"/>
    </cacheField>
  </cacheFields>
  <cacheHierarchies count="28">
    <cacheHierarchy uniqueName="[Tickets].[Ticket ID]" caption="Ticket ID" attribute="1" defaultMemberUniqueName="[Tickets].[Ticket ID].[All]" allUniqueName="[Tickets].[Ticket ID].[All]" dimensionUniqueName="[Tickets]" displayFolder="" count="0" memberValueDatatype="130" unbalanced="0"/>
    <cacheHierarchy uniqueName="[Tickets].[Ticket Creation Date]" caption="Ticket Creation Date" attribute="1" time="1" defaultMemberUniqueName="[Tickets].[Ticket Creation Date].[All]" allUniqueName="[Tickets].[Ticket Creation Date].[All]" dimensionUniqueName="[Tickets]" displayFolder="" count="2" memberValueDatatype="7" unbalanced="0">
      <fieldsUsage count="2">
        <fieldUsage x="-1"/>
        <fieldUsage x="2"/>
      </fieldsUsage>
    </cacheHierarchy>
    <cacheHierarchy uniqueName="[Tickets].[Contact Name]" caption="Contact Name" attribute="1" defaultMemberUniqueName="[Tickets].[Contact Name].[All]" allUniqueName="[Tickets].[Contact Name].[All]" dimensionUniqueName="[Tickets]" displayFolder="" count="0" memberValueDatatype="130" unbalanced="0"/>
    <cacheHierarchy uniqueName="[Tickets].[Contact E-mail Address]" caption="Contact E-mail Address" attribute="1" defaultMemberUniqueName="[Tickets].[Contact E-mail Address].[All]" allUniqueName="[Tickets].[Contact E-mail Address].[All]" dimensionUniqueName="[Tickets]" displayFolder="" count="0" memberValueDatatype="130" unbalanced="0"/>
    <cacheHierarchy uniqueName="[Tickets].[Contact Food Bank]" caption="Contact Food Bank" attribute="1" defaultMemberUniqueName="[Tickets].[Contact Food Bank].[All]" allUniqueName="[Tickets].[Contact Food Bank].[All]" dimensionUniqueName="[Tickets]" displayFolder="" count="0" memberValueDatatype="130" unbalanced="0"/>
    <cacheHierarchy uniqueName="[Tickets].[Product]" caption="Product" attribute="1" defaultMemberUniqueName="[Tickets].[Product].[All]" allUniqueName="[Tickets].[Product].[All]" dimensionUniqueName="[Tickets]" displayFolder="" count="0" memberValueDatatype="130" unbalanced="0"/>
    <cacheHierarchy uniqueName="[Tickets].[Issue Type]" caption="Issue Type" attribute="1" defaultMemberUniqueName="[Tickets].[Issue Type].[All]" allUniqueName="[Tickets].[Issue Type].[All]" dimensionUniqueName="[Tickets]" displayFolder="" count="2" memberValueDatatype="130" unbalanced="0">
      <fieldsUsage count="2">
        <fieldUsage x="-1"/>
        <fieldUsage x="0"/>
      </fieldsUsage>
    </cacheHierarchy>
    <cacheHierarchy uniqueName="[Tickets].[Issue]" caption="Issue" attribute="1" defaultMemberUniqueName="[Tickets].[Issue].[All]" allUniqueName="[Tickets].[Issue].[All]" dimensionUniqueName="[Tickets]" displayFolder="" count="0" memberValueDatatype="130" unbalanced="0"/>
    <cacheHierarchy uniqueName="[Tickets].[Priority Level]" caption="Priority Level" attribute="1" defaultMemberUniqueName="[Tickets].[Priority Level].[All]" allUniqueName="[Tickets].[Priority Level].[All]" dimensionUniqueName="[Tickets]" displayFolder="" count="0" memberValueDatatype="130" unbalanced="0"/>
    <cacheHierarchy uniqueName="[Tickets].[Last Status Date]" caption="Last Status Date" attribute="1" time="1" defaultMemberUniqueName="[Tickets].[Last Status Date].[All]" allUniqueName="[Tickets].[Last Status Date].[All]" dimensionUniqueName="[Tickets]" displayFolder="" count="0" memberValueDatatype="7" unbalanced="0"/>
    <cacheHierarchy uniqueName="[Tickets].[Status]" caption="Status" attribute="1" defaultMemberUniqueName="[Tickets].[Status].[All]" allUniqueName="[Tickets].[Status].[All]" dimensionUniqueName="[Tickets]" displayFolder="" count="0" memberValueDatatype="130" unbalanced="0"/>
    <cacheHierarchy uniqueName="[Tickets].[Age]" caption="Age" attribute="1" defaultMemberUniqueName="[Tickets].[Age].[All]" allUniqueName="[Tickets].[Age].[All]" dimensionUniqueName="[Tickets]" displayFolder="" count="0" memberValueDatatype="20" unbalanced="0"/>
    <cacheHierarchy uniqueName="[Tickets].[Time to Resolution]" caption="Time to Resolution" attribute="1" defaultMemberUniqueName="[Tickets].[Time to Resolution].[All]" allUniqueName="[Tickets].[Time to Resolution].[All]" dimensionUniqueName="[Tickets]" displayFolder="" count="0" memberValueDatatype="20" unbalanced="0"/>
    <cacheHierarchy uniqueName="[Measures].[Contact_Food_Bank_Count]" caption="Contact_Food_Bank_Count" measure="1" displayFolder="" measureGroup="Tickets" count="0"/>
    <cacheHierarchy uniqueName="[Measures].[Contact_Name_Count]" caption="Contact_Name_Count" measure="1" displayFolder="" measureGroup="Tickets" count="0"/>
    <cacheHierarchy uniqueName="[Measures].[Product_Count]" caption="Product_Count" measure="1" displayFolder="" measureGroup="Tickets" count="0"/>
    <cacheHierarchy uniqueName="[Measures].[Issue_Type_Count]" caption="Issue_Type_Count" measure="1" displayFolder="" measureGroup="Tickets" count="0"/>
    <cacheHierarchy uniqueName="[Measures].[Priority_Level_Count]" caption="Priority_Level_Count" measure="1" displayFolder="" measureGroup="Tickets" count="0"/>
    <cacheHierarchy uniqueName="[Measures].[Status_Count]" caption="Status_Count" measure="1" displayFolder="" measureGroup="Tickets" count="0"/>
    <cacheHierarchy uniqueName="[Measures].[Average_Age]" caption="Average_Age" measure="1" displayFolder="" measureGroup="Tickets" count="0"/>
    <cacheHierarchy uniqueName="[Measures].[__XL_Count Tickets]" caption="__XL_Count Tickets" measure="1" displayFolder="" measureGroup="Tickets" count="0" hidden="1"/>
    <cacheHierarchy uniqueName="[Measures].[__No measures defined]" caption="__No measures defined" measure="1" displayFolder="" count="0" hidden="1"/>
    <cacheHierarchy uniqueName="[Measures].[Count of Status]" caption="Count of Status" measure="1" displayFolder="" measureGroup="Ticke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Contact Food Bank]" caption="Count of Contact Food Bank" measure="1" displayFolder="" measureGroup="Ticket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unt of Contact Name]" caption="Count of Contact Name" measure="1" displayFolder="" measureGroup="Ticket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Count of Issue Type]" caption="Count of Issue Type" measure="1" displayFolder="" measureGroup="Ticke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unt of Time to Resolution]" caption="Count of Time to Resolution" measure="1" displayFolder="" measureGroup="Ticke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Average of Time to Resolution]" caption="Average of Time to Resolution" measure="1" displayFolder="" measureGroup="Ticke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2">
    <dimension measure="1" name="Measures" uniqueName="[Measures]" caption="Measures"/>
    <dimension name="Tickets" uniqueName="[Tickets]" caption="Tickets"/>
  </dimensions>
  <measureGroups count="1">
    <measureGroup name="Tickets" caption="Ticket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egis Whaley" refreshedDate="44838.788569212964" backgroundQuery="1" createdVersion="3" refreshedVersion="8" minRefreshableVersion="3" recordCount="0" supportSubquery="1" supportAdvancedDrill="1" xr:uid="{E032C77F-88A0-459C-8C1B-AD1473EE9207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8">
    <cacheHierarchy uniqueName="[Tickets].[Ticket ID]" caption="Ticket ID" attribute="1" defaultMemberUniqueName="[Tickets].[Ticket ID].[All]" allUniqueName="[Tickets].[Ticket ID].[All]" dimensionUniqueName="[Tickets]" displayFolder="" count="0" memberValueDatatype="130" unbalanced="0"/>
    <cacheHierarchy uniqueName="[Tickets].[Ticket Creation Date]" caption="Ticket Creation Date" attribute="1" time="1" defaultMemberUniqueName="[Tickets].[Ticket Creation Date].[All]" allUniqueName="[Tickets].[Ticket Creation Date].[All]" dimensionUniqueName="[Tickets]" displayFolder="" count="2" memberValueDatatype="7" unbalanced="0"/>
    <cacheHierarchy uniqueName="[Tickets].[Contact Name]" caption="Contact Name" attribute="1" defaultMemberUniqueName="[Tickets].[Contact Name].[All]" allUniqueName="[Tickets].[Contact Name].[All]" dimensionUniqueName="[Tickets]" displayFolder="" count="0" memberValueDatatype="130" unbalanced="0"/>
    <cacheHierarchy uniqueName="[Tickets].[Contact E-mail Address]" caption="Contact E-mail Address" attribute="1" defaultMemberUniqueName="[Tickets].[Contact E-mail Address].[All]" allUniqueName="[Tickets].[Contact E-mail Address].[All]" dimensionUniqueName="[Tickets]" displayFolder="" count="0" memberValueDatatype="130" unbalanced="0"/>
    <cacheHierarchy uniqueName="[Tickets].[Contact Food Bank]" caption="Contact Food Bank" attribute="1" defaultMemberUniqueName="[Tickets].[Contact Food Bank].[All]" allUniqueName="[Tickets].[Contact Food Bank].[All]" dimensionUniqueName="[Tickets]" displayFolder="" count="0" memberValueDatatype="130" unbalanced="0"/>
    <cacheHierarchy uniqueName="[Tickets].[Product]" caption="Product" attribute="1" defaultMemberUniqueName="[Tickets].[Product].[All]" allUniqueName="[Tickets].[Product].[All]" dimensionUniqueName="[Tickets]" displayFolder="" count="0" memberValueDatatype="130" unbalanced="0"/>
    <cacheHierarchy uniqueName="[Tickets].[Issue Type]" caption="Issue Type" attribute="1" defaultMemberUniqueName="[Tickets].[Issue Type].[All]" allUniqueName="[Tickets].[Issue Type].[All]" dimensionUniqueName="[Tickets]" displayFolder="" count="0" memberValueDatatype="130" unbalanced="0"/>
    <cacheHierarchy uniqueName="[Tickets].[Issue]" caption="Issue" attribute="1" defaultMemberUniqueName="[Tickets].[Issue].[All]" allUniqueName="[Tickets].[Issue].[All]" dimensionUniqueName="[Tickets]" displayFolder="" count="0" memberValueDatatype="130" unbalanced="0"/>
    <cacheHierarchy uniqueName="[Tickets].[Priority Level]" caption="Priority Level" attribute="1" defaultMemberUniqueName="[Tickets].[Priority Level].[All]" allUniqueName="[Tickets].[Priority Level].[All]" dimensionUniqueName="[Tickets]" displayFolder="" count="0" memberValueDatatype="130" unbalanced="0"/>
    <cacheHierarchy uniqueName="[Tickets].[Last Status Date]" caption="Last Status Date" attribute="1" time="1" defaultMemberUniqueName="[Tickets].[Last Status Date].[All]" allUniqueName="[Tickets].[Last Status Date].[All]" dimensionUniqueName="[Tickets]" displayFolder="" count="0" memberValueDatatype="7" unbalanced="0"/>
    <cacheHierarchy uniqueName="[Tickets].[Status]" caption="Status" attribute="1" defaultMemberUniqueName="[Tickets].[Status].[All]" allUniqueName="[Tickets].[Status].[All]" dimensionUniqueName="[Tickets]" displayFolder="" count="0" memberValueDatatype="130" unbalanced="0"/>
    <cacheHierarchy uniqueName="[Tickets].[Age]" caption="Age" attribute="1" defaultMemberUniqueName="[Tickets].[Age].[All]" allUniqueName="[Tickets].[Age].[All]" dimensionUniqueName="[Tickets]" displayFolder="" count="0" memberValueDatatype="20" unbalanced="0"/>
    <cacheHierarchy uniqueName="[Tickets].[Time to Resolution]" caption="Time to Resolution" attribute="1" defaultMemberUniqueName="[Tickets].[Time to Resolution].[All]" allUniqueName="[Tickets].[Time to Resolution].[All]" dimensionUniqueName="[Tickets]" displayFolder="" count="0" memberValueDatatype="20" unbalanced="0"/>
    <cacheHierarchy uniqueName="[Measures].[Contact_Food_Bank_Count]" caption="Contact_Food_Bank_Count" measure="1" displayFolder="" measureGroup="Tickets" count="0"/>
    <cacheHierarchy uniqueName="[Measures].[Contact_Name_Count]" caption="Contact_Name_Count" measure="1" displayFolder="" measureGroup="Tickets" count="0"/>
    <cacheHierarchy uniqueName="[Measures].[Product_Count]" caption="Product_Count" measure="1" displayFolder="" measureGroup="Tickets" count="0"/>
    <cacheHierarchy uniqueName="[Measures].[Issue_Type_Count]" caption="Issue_Type_Count" measure="1" displayFolder="" measureGroup="Tickets" count="0"/>
    <cacheHierarchy uniqueName="[Measures].[Priority_Level_Count]" caption="Priority_Level_Count" measure="1" displayFolder="" measureGroup="Tickets" count="0"/>
    <cacheHierarchy uniqueName="[Measures].[Status_Count]" caption="Status_Count" measure="1" displayFolder="" measureGroup="Tickets" count="0"/>
    <cacheHierarchy uniqueName="[Measures].[Average_Age]" caption="Average_Age" measure="1" displayFolder="" measureGroup="Tickets" count="0"/>
    <cacheHierarchy uniqueName="[Measures].[__XL_Count Tickets]" caption="__XL_Count Tickets" measure="1" displayFolder="" measureGroup="Tickets" count="0" hidden="1"/>
    <cacheHierarchy uniqueName="[Measures].[__No measures defined]" caption="__No measures defined" measure="1" displayFolder="" count="0" hidden="1"/>
    <cacheHierarchy uniqueName="[Measures].[Count of Status]" caption="Count of Status" measure="1" displayFolder="" measureGroup="Ticke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Contact Food Bank]" caption="Count of Contact Food Bank" measure="1" displayFolder="" measureGroup="Ticket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unt of Contact Name]" caption="Count of Contact Name" measure="1" displayFolder="" measureGroup="Ticket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Count of Issue Type]" caption="Count of Issue Type" measure="1" displayFolder="" measureGroup="Ticke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unt of Time to Resolution]" caption="Count of Time to Resolution" measure="1" displayFolder="" measureGroup="Ticke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Average of Time to Resolution]" caption="Average of Time to Resolution" measure="1" displayFolder="" measureGroup="Ticke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181999752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43948C-33E6-4688-9BEA-320994D52AC5}" name="PivotTable3" cacheId="204" applyNumberFormats="0" applyBorderFormats="0" applyFontFormats="0" applyPatternFormats="0" applyAlignmentFormats="0" applyWidthHeightFormats="1" dataCaption="Values" tag="28ccc66c-d41f-4efa-bab1-1cf0f6ec15c5" updatedVersion="8" minRefreshableVersion="5" useAutoFormatting="1" rowGrandTotals="0" colGrandTotals="0" itemPrintTitles="1" createdVersion="8" indent="0" outline="1" outlineData="1" multipleFieldFilters="0">
  <location ref="A3:B8" firstHeaderRow="1" firstDataRow="1" firstDataCol="1"/>
  <pivotFields count="3">
    <pivotField axis="axisRow" allDrilled="1" subtotalTop="0" showAll="0" sortType="de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 v="4"/>
    </i>
    <i>
      <x v="1"/>
    </i>
    <i>
      <x v="3"/>
    </i>
    <i>
      <x/>
    </i>
    <i>
      <x v="2"/>
    </i>
  </rowItems>
  <colItems count="1">
    <i/>
  </colItems>
  <dataFields count="1">
    <dataField name="Count of Contact Food Bank" fld="1" subtotal="count" baseField="0" baseItem="0"/>
  </dataFields>
  <pivotHierarchies count="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9" showRowHeaders="1" showColHeaders="1" showRowStripes="0" showColStripes="0" showLastColumn="1"/>
  <filters count="1">
    <filter fld="2" type="dateBetween" evalOrder="-1" id="59" name="[Tickets].[Ticket Creation Date]">
      <autoFilter ref="A1">
        <filterColumn colId="0">
          <customFilters and="1">
            <customFilter operator="greaterThanOrEqual" val="44774"/>
            <customFilter operator="lessThanOrEqual" val="4486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icke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3477E4-5D4F-41A8-93D2-BA68CD535ECF}" name="PivotTable6" cacheId="213" applyNumberFormats="0" applyBorderFormats="0" applyFontFormats="0" applyPatternFormats="0" applyAlignmentFormats="0" applyWidthHeightFormats="1" dataCaption="Values" tag="7c7c54fa-be9f-480d-b114-1f5a3c4bf149" updatedVersion="8" minRefreshableVersion="5" useAutoFormatting="1" itemPrintTitles="1" createdVersion="8" indent="0" outline="1" outlineData="1" multipleFieldFilters="0">
  <location ref="A540:B543" firstHeaderRow="1" firstDataRow="1" firstDataCol="1"/>
  <pivotFields count="3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Count of Issue Type" fld="1" subtotal="count" baseField="0" baseItem="0"/>
  </dataFields>
  <pivotHierarchies count="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9" showRowHeaders="1" showColHeaders="1" showRowStripes="0" showColStripes="0" showLastColumn="1"/>
  <filters count="1">
    <filter fld="2" type="dateBetween" evalOrder="-1" id="58" name="[Tickets].[Ticket Creation Date]">
      <autoFilter ref="A1">
        <filterColumn colId="0">
          <customFilters and="1">
            <customFilter operator="greaterThanOrEqual" val="44774"/>
            <customFilter operator="lessThanOrEqual" val="4486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icke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4A1953-54D6-4187-B766-EDDE8A70E118}" name="PivotTable5" cacheId="210" applyNumberFormats="0" applyBorderFormats="0" applyFontFormats="0" applyPatternFormats="0" applyAlignmentFormats="0" applyWidthHeightFormats="1" dataCaption="Values" tag="31354c0e-772c-4476-98fb-976fe0328c7b" updatedVersion="8" minRefreshableVersion="5" useAutoFormatting="1" itemPrintTitles="1" createdVersion="8" indent="0" outline="1" outlineData="1" multipleFieldFilters="0">
  <location ref="A527:C533" firstHeaderRow="0" firstDataRow="1" firstDataCol="1"/>
  <pivotFields count="4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Status" fld="1" subtotal="count" baseField="0" baseItem="0"/>
    <dataField name="Average of Time to Resolution" fld="3" subtotal="average" baseField="0" baseItem="3"/>
  </dataFields>
  <pivotHierarchies count="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Average of Time to Resolution"/>
  </pivotHierarchies>
  <pivotTableStyleInfo name="PivotStyleMedium9" showRowHeaders="1" showColHeaders="1" showRowStripes="0" showColStripes="0" showLastColumn="1"/>
  <filters count="1">
    <filter fld="2" type="dateBetween" evalOrder="-1" id="58" name="[Tickets].[Ticket Creation Date]">
      <autoFilter ref="A1">
        <filterColumn colId="0">
          <customFilters and="1">
            <customFilter operator="greaterThanOrEqual" val="44774"/>
            <customFilter operator="lessThanOrEqual" val="4486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1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icke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8F9E69-F41C-4300-8ABB-7C7D9EA32131}" name="PivotTable4" cacheId="207" applyNumberFormats="0" applyBorderFormats="0" applyFontFormats="0" applyPatternFormats="0" applyAlignmentFormats="0" applyWidthHeightFormats="1" dataCaption="Values" tag="39e57b54-5486-49c8-b4eb-41a057f97555" updatedVersion="8" minRefreshableVersion="5" useAutoFormatting="1" rowGrandTotals="0" colGrandTotals="0" itemPrintTitles="1" createdVersion="8" indent="0" outline="1" outlineData="1" multipleFieldFilters="0">
  <location ref="A225:B237" firstHeaderRow="1" firstDataRow="1" firstDataCol="1"/>
  <pivotFields count="3">
    <pivotField axis="axisRow" allDrilled="1" subtotalTop="0" showAll="0" sortType="descending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2">
    <i>
      <x v="10"/>
    </i>
    <i>
      <x v="8"/>
    </i>
    <i>
      <x v="6"/>
    </i>
    <i>
      <x v="11"/>
    </i>
    <i>
      <x v="2"/>
    </i>
    <i>
      <x v="7"/>
    </i>
    <i>
      <x v="3"/>
    </i>
    <i>
      <x v="1"/>
    </i>
    <i>
      <x v="9"/>
    </i>
    <i>
      <x v="4"/>
    </i>
    <i>
      <x/>
    </i>
    <i>
      <x v="5"/>
    </i>
  </rowItems>
  <colItems count="1">
    <i/>
  </colItems>
  <dataFields count="1">
    <dataField name="Count of Contact Name" fld="1" subtotal="count" baseField="0" baseItem="0"/>
  </dataFields>
  <pivotHierarchies count="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9" showRowHeaders="1" showColHeaders="1" showRowStripes="0" showColStripes="0" showLastColumn="1"/>
  <filters count="1">
    <filter fld="2" type="dateBetween" evalOrder="-1" id="59" name="[Tickets].[Ticket Creation Date]">
      <autoFilter ref="A1">
        <filterColumn colId="0">
          <customFilters and="1">
            <customFilter operator="greaterThanOrEqual" val="44774"/>
            <customFilter operator="lessThanOrEqual" val="4486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icke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402E19-D783-4754-9BAA-CC4FBE5C21A4}" name="Tickets" displayName="Tickets" ref="A3:M17" totalsRowShown="0">
  <autoFilter ref="A3:M17" xr:uid="{4C402E19-D783-4754-9BAA-CC4FBE5C21A4}"/>
  <sortState xmlns:xlrd2="http://schemas.microsoft.com/office/spreadsheetml/2017/richdata2" ref="A4:L16">
    <sortCondition ref="B3:B16"/>
  </sortState>
  <tableColumns count="13">
    <tableColumn id="1" xr3:uid="{CFE6C3D9-CED0-4EA2-AB79-6DF2F751B470}" name="Ticket ID"/>
    <tableColumn id="2" xr3:uid="{3E2C5150-4F3F-4DDA-8D06-E85842C79F84}" name="Ticket Creation Date" dataDxfId="4"/>
    <tableColumn id="3" xr3:uid="{B01A55DB-3C8E-49A0-9B7D-CE39D2D1A1EB}" name="Contact Name"/>
    <tableColumn id="4" xr3:uid="{EDF1844E-714C-46B0-B291-C67E141251DE}" name="Contact E-mail Address" dataCellStyle="Hyperlink"/>
    <tableColumn id="5" xr3:uid="{2D48DF0E-AB51-47FB-9E14-1101FD53271E}" name="Contact Food Bank"/>
    <tableColumn id="6" xr3:uid="{5F312ED1-5004-43FA-A660-5F662E892991}" name="Product"/>
    <tableColumn id="7" xr3:uid="{3BBC6A95-1A02-49BF-9FD8-23FA437A2B86}" name="Issue Type"/>
    <tableColumn id="8" xr3:uid="{25514EA1-AA7A-4419-9CE2-7C0B501E713C}" name="Issue"/>
    <tableColumn id="9" xr3:uid="{A02487D0-6972-47A4-A141-3DEFEAECDCAB}" name="Priority Level"/>
    <tableColumn id="10" xr3:uid="{C7B177E0-4FBA-4C57-91AB-3197394D0977}" name="Last Status Date" dataDxfId="3">
      <calculatedColumnFormula array="1">IF(
ISNUMBER(MATCH(Tickets[[#This Row],[Ticket ID]],Work[Ticket ID],0)),
INDEX(Work[Work Date],LARGE(IF(Work[Ticket ID]=Tickets[[#This Row],[Ticket ID]],ROW(Work[Ticket ID])-ROW(INDEX(Work[Ticket ID],1,1))+1),1)),
"")</calculatedColumnFormula>
    </tableColumn>
    <tableColumn id="11" xr3:uid="{C4D58970-0176-4139-B184-B9FCE96F1BE0}" name="Status">
      <calculatedColumnFormula array="1">IF(Tickets[[#This Row],[Last Status Date]]="","Not Started",
INDEX(Work[],MATCH(1,(Work[Ticket ID]=Tickets[[#This Row],[Ticket ID]])*(Work[Work Date]=Tickets[[#This Row],[Last Status Date]]),0),MATCH("New Ticket Status",Work[#Headers],0)))</calculatedColumnFormula>
    </tableColumn>
    <tableColumn id="12" xr3:uid="{58D310C5-E102-41D9-B52A-62FE4FFD007D}" name="Age" dataDxfId="2">
      <calculatedColumnFormula>DATEDIF(Tickets[[#This Row],[Ticket Creation Date]],TODAY(),"d")</calculatedColumnFormula>
    </tableColumn>
    <tableColumn id="13" xr3:uid="{756F2322-520A-45BC-AD72-D7D357CEAEB0}" name="Time to Resolution" dataDxfId="1">
      <calculatedColumnFormula>IF(Tickets[[#This Row],[Status]]="Resolved",DATEDIF(Tickets[[#This Row],[Ticket Creation Date]],Tickets[[#This Row],[Last Status Date]],"d"),0)</calculatedColumnFormula>
    </tableColumn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11DABC-AF46-415B-9FEE-93100E71DFB0}" name="Work" displayName="Work" ref="A3:D14" totalsRowShown="0">
  <autoFilter ref="A3:D14" xr:uid="{F711DABC-AF46-415B-9FEE-93100E71DFB0}"/>
  <tableColumns count="4">
    <tableColumn id="1" xr3:uid="{EBCF8B19-F320-447E-9097-518E6333938D}" name="Ticket ID"/>
    <tableColumn id="2" xr3:uid="{E9C3693E-9735-4198-9EF4-0F9D5D1FAA74}" name="Work Date" dataDxfId="0"/>
    <tableColumn id="3" xr3:uid="{24EAB383-4889-4F49-B754-5808AD89F771}" name="Work Description"/>
    <tableColumn id="4" xr3:uid="{F5BEB4D2-5680-4AA3-BDF8-163E807CE9D0}" name="New Ticket Statu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C2C419-7103-48A4-88BB-B351AC7E5FFE}" name="tbl_food_bank" displayName="tbl_food_bank" ref="A1:A6" totalsRowShown="0">
  <autoFilter ref="A1:A6" xr:uid="{B0C2C419-7103-48A4-88BB-B351AC7E5FFE}"/>
  <tableColumns count="1">
    <tableColumn id="1" xr3:uid="{81937CB9-3632-4F81-866F-241B3E21729D}" name="Food Bank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208BA7-1FFD-47E6-AEE0-49B2F74AC7CF}" name="tbl_issue_type" displayName="tbl_issue_type" ref="A8:A10" totalsRowShown="0">
  <autoFilter ref="A8:A10" xr:uid="{BF208BA7-1FFD-47E6-AEE0-49B2F74AC7CF}"/>
  <tableColumns count="1">
    <tableColumn id="1" xr3:uid="{60FFA44C-5550-4AA5-B372-3AB14FF305FF}" name="Issue Typ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60A7A6B-F25A-4D72-AD8A-D2C8A2EA4A2E}" name="tbl_priority_level" displayName="tbl_priority_level" ref="A12:A15" totalsRowShown="0">
  <autoFilter ref="A12:A15" xr:uid="{760A7A6B-F25A-4D72-AD8A-D2C8A2EA4A2E}"/>
  <tableColumns count="1">
    <tableColumn id="1" xr3:uid="{B9D56DC3-9FD7-458C-8C9C-BBADBFF05653}" name="Priority Leve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F53A661-9FFD-4641-A0F4-95779ECFFD5C}" name="tbl_product" displayName="tbl_product" ref="A17:A19" totalsRowShown="0">
  <autoFilter ref="A17:A19" xr:uid="{EF53A661-9FFD-4641-A0F4-95779ECFFD5C}"/>
  <tableColumns count="1">
    <tableColumn id="1" xr3:uid="{4B09C14E-EBEB-4280-B77E-E0E9C6CA94FC}" name="Produc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618C726-F35C-4866-BAEF-B185DADB9D6B}" name="tbl_status" displayName="tbl_status" ref="A21:A26" totalsRowShown="0">
  <autoFilter ref="A21:A26" xr:uid="{A618C726-F35C-4866-BAEF-B185DADB9D6B}"/>
  <tableColumns count="1">
    <tableColumn id="1" xr3:uid="{57F6B043-44A0-437E-B665-965D8A2BA701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Ticket_Creation_Date" xr10:uid="{22BF2AD7-E01E-4B0E-9BE1-B5C81A2E8F98}" sourceName="[Tickets].[Ticket Creation Date]">
  <pivotTables>
    <pivotTable tabId="7" name="PivotTable3"/>
    <pivotTable tabId="7" name="PivotTable4"/>
    <pivotTable tabId="7" name="PivotTable5"/>
    <pivotTable tabId="7" name="PivotTable6"/>
  </pivotTables>
  <state minimalRefreshVersion="6" lastRefreshVersion="6" pivotCacheId="1819997529" filterType="dateBetween">
    <selection startDate="2022-08-01T00:00:00" endDate="2022-10-31T00:00:00"/>
    <bounds startDate="2022-01-01T22:07:27" endDate="2023-01-01T18:48:44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Ticket Creation Date" xr10:uid="{11750423-1AC3-4CD1-A4E5-4C01B9B4214A}" cache="Timeline_Ticket_Creation_Date" caption="Ticket Creation Date" level="2" selectionLevel="2" scrollPosition="2022-01-01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1/relationships/timeline" Target="../timelines/timelin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phyllis.vance@dundermifflin.com" TargetMode="External"/><Relationship Id="rId13" Type="http://schemas.openxmlformats.org/officeDocument/2006/relationships/table" Target="../tables/table1.xml"/><Relationship Id="rId3" Type="http://schemas.openxmlformats.org/officeDocument/2006/relationships/hyperlink" Target="mailto:jim.halpert@dundermifflin.com" TargetMode="External"/><Relationship Id="rId7" Type="http://schemas.openxmlformats.org/officeDocument/2006/relationships/hyperlink" Target="mailto:kevin.malone@dundermifflin.com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mailto:pam.halpert@dundermifflin.com" TargetMode="External"/><Relationship Id="rId1" Type="http://schemas.openxmlformats.org/officeDocument/2006/relationships/hyperlink" Target="mailto:michael.scott@dundermifflin.com" TargetMode="External"/><Relationship Id="rId6" Type="http://schemas.openxmlformats.org/officeDocument/2006/relationships/hyperlink" Target="mailto:oscar.martinez@dundermifflin.com" TargetMode="External"/><Relationship Id="rId11" Type="http://schemas.openxmlformats.org/officeDocument/2006/relationships/hyperlink" Target="mailto:erin.hannon@dundermifflin.com" TargetMode="External"/><Relationship Id="rId5" Type="http://schemas.openxmlformats.org/officeDocument/2006/relationships/hyperlink" Target="mailto:angela.schrute@dundermifflin.com" TargetMode="External"/><Relationship Id="rId10" Type="http://schemas.openxmlformats.org/officeDocument/2006/relationships/hyperlink" Target="mailto:andy.bernard@dundermifflin.com" TargetMode="External"/><Relationship Id="rId4" Type="http://schemas.openxmlformats.org/officeDocument/2006/relationships/hyperlink" Target="mailto:dwight.schrute@dundermifflin.com" TargetMode="External"/><Relationship Id="rId9" Type="http://schemas.openxmlformats.org/officeDocument/2006/relationships/hyperlink" Target="mailto:stanley.hudson@dundermifflin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9F525-76C2-455D-B244-667F19C7089C}">
  <sheetPr codeName="Sheet4">
    <pageSetUpPr fitToPage="1"/>
  </sheetPr>
  <dimension ref="A1:O32"/>
  <sheetViews>
    <sheetView showGridLines="0" tabSelected="1" workbookViewId="0">
      <selection activeCell="B28" sqref="B28"/>
    </sheetView>
  </sheetViews>
  <sheetFormatPr defaultRowHeight="15" x14ac:dyDescent="0.25"/>
  <cols>
    <col min="1" max="1" width="31.5703125" bestFit="1" customWidth="1"/>
    <col min="2" max="2" width="15.5703125" bestFit="1" customWidth="1"/>
    <col min="4" max="4" width="18.85546875" customWidth="1"/>
    <col min="6" max="6" width="15.7109375" bestFit="1" customWidth="1"/>
    <col min="7" max="7" width="15.5703125" bestFit="1" customWidth="1"/>
    <col min="8" max="8" width="9.140625" customWidth="1"/>
  </cols>
  <sheetData>
    <row r="1" spans="1:15" ht="21" x14ac:dyDescent="0.35">
      <c r="A1" s="1" t="s">
        <v>76</v>
      </c>
    </row>
    <row r="2" spans="1:15" ht="15.75" x14ac:dyDescent="0.25">
      <c r="A2" s="9">
        <f ca="1">TODAY()</f>
        <v>44838</v>
      </c>
    </row>
    <row r="4" spans="1:15" ht="15" customHeight="1" x14ac:dyDescent="0.25">
      <c r="H4" s="22">
        <f>GETPIVOTDATA("[Measures].[Count of Status]",'Dashboard Helper'!$A$527)</f>
        <v>14</v>
      </c>
      <c r="I4" s="22"/>
      <c r="J4" s="22"/>
      <c r="M4" s="22" t="str">
        <f>IFERROR(
GETPIVOTDATA("[Measures].[Count of Status]",'Dashboard Helper'!$A$527,"[Tickets].[Status]","[Tickets].[Status].&amp;[Resolved]")&amp;
" ("&amp;
TEXT(GETPIVOTDATA("[Measures].[Count of Status]",'Dashboard Helper'!$A$527,"[Tickets].[Status]","[Tickets].[Status].&amp;[Resolved]")/GETPIVOTDATA("[Measures].[Count of Status]",'Dashboard Helper'!$A$527),"0%")&amp;")",
"--")</f>
        <v>2 (14%)</v>
      </c>
      <c r="N4" s="22"/>
      <c r="O4" s="22"/>
    </row>
    <row r="5" spans="1:15" ht="15" customHeight="1" x14ac:dyDescent="0.25">
      <c r="H5" s="22"/>
      <c r="I5" s="22"/>
      <c r="J5" s="22"/>
      <c r="M5" s="22"/>
      <c r="N5" s="22"/>
      <c r="O5" s="22"/>
    </row>
    <row r="6" spans="1:15" ht="15" customHeight="1" x14ac:dyDescent="0.25">
      <c r="H6" s="22"/>
      <c r="I6" s="22"/>
      <c r="J6" s="22"/>
      <c r="M6" s="22"/>
      <c r="N6" s="22"/>
      <c r="O6" s="22"/>
    </row>
    <row r="7" spans="1:15" x14ac:dyDescent="0.25">
      <c r="H7" s="10" t="s">
        <v>79</v>
      </c>
      <c r="I7" s="11"/>
      <c r="J7" s="11"/>
      <c r="L7" s="11"/>
      <c r="N7" s="10" t="s">
        <v>80</v>
      </c>
    </row>
    <row r="8" spans="1:15" x14ac:dyDescent="0.25">
      <c r="H8" s="10"/>
      <c r="I8" s="11"/>
      <c r="J8" s="11"/>
      <c r="L8" s="11"/>
      <c r="N8" s="10"/>
    </row>
    <row r="9" spans="1:15" ht="15" customHeight="1" x14ac:dyDescent="0.25">
      <c r="H9" s="22">
        <f>IFERROR(
GETPIVOTDATA("[Measures].[Average of Time to Resolution]",'Dashboard Helper'!$A$527,"[Tickets].[Status]","[Tickets].[Status].&amp;[Resolved]"),
"--")</f>
        <v>9</v>
      </c>
      <c r="I9" s="22"/>
      <c r="J9" s="22"/>
      <c r="M9" s="22" t="str">
        <f>IFERROR(
GETPIVOTDATA("[Measures].[Count of Status]",'Dashboard Helper'!$A$527,"[Tickets].[Status]","[Tickets].[Status].&amp;[Escalated]")&amp;
" ("&amp;
TEXT(GETPIVOTDATA("[Measures].[Count of Status]",'Dashboard Helper'!$A$527,"[Tickets].[Status]","[Tickets].[Status].&amp;[Escalated]")/GETPIVOTDATA("[Measures].[Count of Status]",'Dashboard Helper'!$A$527),"0%")&amp;")",
"--")</f>
        <v>2 (14%)</v>
      </c>
      <c r="N9" s="22"/>
      <c r="O9" s="22"/>
    </row>
    <row r="10" spans="1:15" ht="15" customHeight="1" x14ac:dyDescent="0.25">
      <c r="H10" s="22"/>
      <c r="I10" s="22"/>
      <c r="J10" s="22"/>
      <c r="M10" s="22"/>
      <c r="N10" s="22"/>
      <c r="O10" s="22"/>
    </row>
    <row r="11" spans="1:15" ht="15" customHeight="1" x14ac:dyDescent="0.25">
      <c r="H11" s="22"/>
      <c r="I11" s="22"/>
      <c r="J11" s="22"/>
      <c r="M11" s="22"/>
      <c r="N11" s="22"/>
      <c r="O11" s="22"/>
    </row>
    <row r="12" spans="1:15" x14ac:dyDescent="0.25">
      <c r="H12" s="10" t="s">
        <v>100</v>
      </c>
      <c r="I12" s="11"/>
      <c r="J12" s="11"/>
      <c r="L12" s="11"/>
      <c r="N12" s="10" t="s">
        <v>81</v>
      </c>
    </row>
    <row r="14" spans="1:15" x14ac:dyDescent="0.25">
      <c r="A14" s="15" t="s">
        <v>77</v>
      </c>
      <c r="B14" s="16"/>
      <c r="C14" s="16"/>
      <c r="D14" s="16"/>
      <c r="F14" s="15" t="s">
        <v>7</v>
      </c>
      <c r="G14" s="16"/>
      <c r="H14" s="16"/>
    </row>
    <row r="15" spans="1:15" x14ac:dyDescent="0.25">
      <c r="A15" s="6" t="s">
        <v>27</v>
      </c>
      <c r="B15" s="12" t="s">
        <v>78</v>
      </c>
      <c r="C15" s="12" t="s">
        <v>82</v>
      </c>
      <c r="F15" s="6" t="s">
        <v>7</v>
      </c>
      <c r="G15" s="12" t="s">
        <v>78</v>
      </c>
      <c r="H15" s="12" t="s">
        <v>82</v>
      </c>
    </row>
    <row r="16" spans="1:15" x14ac:dyDescent="0.25">
      <c r="A16" t="s">
        <v>29</v>
      </c>
      <c r="B16" s="13">
        <f>IFERROR(
GETPIVOTDATA("[Measures].[Count of Status]",'Dashboard Helper'!$A$527,"[Tickets].[Status]","[Tickets].[Status].&amp;["&amp;A16&amp;"]"),
0)</f>
        <v>4</v>
      </c>
      <c r="C16" s="14">
        <f>B16/SUM($B$16:$B$20)</f>
        <v>0.2857142857142857</v>
      </c>
      <c r="D16" s="17" t="str">
        <f>REPT("|",C16*100)</f>
        <v>||||||||||||||||||||||||||||</v>
      </c>
      <c r="F16" t="s">
        <v>17</v>
      </c>
      <c r="G16" s="13">
        <f>GETPIVOTDATA("[Measures].[Count of Issue Type]",'Dashboard Helper'!$A$540,"[Tickets].[Issue Type]","[Tickets].[Issue Type].&amp;["&amp;F16&amp;"]")</f>
        <v>7</v>
      </c>
      <c r="H16" s="14">
        <f>G16/SUM($G$16:$G$17)</f>
        <v>0.5</v>
      </c>
    </row>
    <row r="17" spans="1:8" x14ac:dyDescent="0.25">
      <c r="A17" t="s">
        <v>30</v>
      </c>
      <c r="B17" s="13">
        <f>IFERROR(
GETPIVOTDATA("[Measures].[Count of Status]",'Dashboard Helper'!$A$527,"[Tickets].[Status]","[Tickets].[Status].&amp;["&amp;A17&amp;"]"),
0)</f>
        <v>2</v>
      </c>
      <c r="C17" s="14">
        <f t="shared" ref="C17:C20" si="0">B17/SUM($B$16:$B$20)</f>
        <v>0.14285714285714285</v>
      </c>
      <c r="D17" s="18" t="str">
        <f t="shared" ref="D17:D20" si="1">REPT("|",C17*100)</f>
        <v>||||||||||||||</v>
      </c>
      <c r="F17" t="s">
        <v>18</v>
      </c>
      <c r="G17" s="13">
        <f>GETPIVOTDATA("[Measures].[Count of Issue Type]",'Dashboard Helper'!$A$540,"[Tickets].[Issue Type]","[Tickets].[Issue Type].&amp;["&amp;F17&amp;"]")</f>
        <v>7</v>
      </c>
      <c r="H17" s="14">
        <f>G17/SUM($G$16:$G$17)</f>
        <v>0.5</v>
      </c>
    </row>
    <row r="18" spans="1:8" x14ac:dyDescent="0.25">
      <c r="A18" t="s">
        <v>31</v>
      </c>
      <c r="B18" s="13">
        <f>IFERROR(
GETPIVOTDATA("[Measures].[Count of Status]",'Dashboard Helper'!$A$527,"[Tickets].[Status]","[Tickets].[Status].&amp;["&amp;A18&amp;"]"),
0)</f>
        <v>4</v>
      </c>
      <c r="C18" s="14">
        <f t="shared" si="0"/>
        <v>0.2857142857142857</v>
      </c>
      <c r="D18" s="19" t="str">
        <f t="shared" si="1"/>
        <v>||||||||||||||||||||||||||||</v>
      </c>
    </row>
    <row r="19" spans="1:8" x14ac:dyDescent="0.25">
      <c r="A19" t="s">
        <v>32</v>
      </c>
      <c r="B19" s="13">
        <f>IFERROR(
GETPIVOTDATA("[Measures].[Count of Status]",'Dashboard Helper'!$A$527,"[Tickets].[Status]","[Tickets].[Status].&amp;["&amp;A19&amp;"]"),
0)</f>
        <v>2</v>
      </c>
      <c r="C19" s="14">
        <f t="shared" si="0"/>
        <v>0.14285714285714285</v>
      </c>
      <c r="D19" s="20" t="str">
        <f t="shared" si="1"/>
        <v>||||||||||||||</v>
      </c>
    </row>
    <row r="20" spans="1:8" x14ac:dyDescent="0.25">
      <c r="A20" t="s">
        <v>33</v>
      </c>
      <c r="B20" s="13">
        <f>IFERROR(
GETPIVOTDATA("[Measures].[Count of Status]",'Dashboard Helper'!$A$527,"[Tickets].[Status]","[Tickets].[Status].&amp;["&amp;A20&amp;"]"),
0)</f>
        <v>2</v>
      </c>
      <c r="C20" s="14">
        <f t="shared" si="0"/>
        <v>0.14285714285714285</v>
      </c>
      <c r="D20" s="21" t="str">
        <f t="shared" si="1"/>
        <v>||||||||||||||</v>
      </c>
    </row>
    <row r="26" spans="1:8" x14ac:dyDescent="0.25">
      <c r="A26" s="15" t="s">
        <v>93</v>
      </c>
      <c r="B26" s="16"/>
      <c r="C26" s="16"/>
      <c r="D26" s="16"/>
      <c r="F26" s="15" t="s">
        <v>94</v>
      </c>
      <c r="G26" s="16"/>
      <c r="H26" s="16"/>
    </row>
    <row r="27" spans="1:8" x14ac:dyDescent="0.25">
      <c r="A27" s="6" t="s">
        <v>14</v>
      </c>
      <c r="B27" s="12" t="s">
        <v>78</v>
      </c>
      <c r="C27" s="12" t="s">
        <v>82</v>
      </c>
      <c r="F27" s="6" t="s">
        <v>95</v>
      </c>
      <c r="G27" s="12" t="s">
        <v>78</v>
      </c>
      <c r="H27" s="12" t="s">
        <v>82</v>
      </c>
    </row>
    <row r="28" spans="1:8" x14ac:dyDescent="0.25">
      <c r="A28" t="str">
        <f>IF('Dashboard Helper'!A4=0,"",'Dashboard Helper'!A4)</f>
        <v>Three Square Food Bank</v>
      </c>
      <c r="B28" s="13">
        <f>IF(A28="","",GETPIVOTDATA("[Measures].[Count of Contact Food Bank]",'Dashboard Helper'!$A$3,"[Tickets].[Contact Food Bank]","[Tickets].[Contact Food Bank].&amp;["&amp;A28&amp;"]"))</f>
        <v>5</v>
      </c>
      <c r="C28" s="14">
        <f>IF(B28="","",B28/SUM($B$28:$B$32))</f>
        <v>0.35714285714285715</v>
      </c>
      <c r="F28" t="str">
        <f>IF('Dashboard Helper'!A226=0,"",'Dashboard Helper'!A226)</f>
        <v>Regis</v>
      </c>
      <c r="G28" s="13">
        <f>IF(F28="","",GETPIVOTDATA("[Measures].[Count of Contact Name]",'Dashboard Helper'!$A$225,"[Tickets].[Contact Name]","[Tickets].[Contact Name].&amp;["&amp;F28&amp;"]"))</f>
        <v>3</v>
      </c>
      <c r="H28" s="14">
        <f>IF(G28="","",G28/SUM($G$28:$G$32))</f>
        <v>0.42857142857142855</v>
      </c>
    </row>
    <row r="29" spans="1:8" x14ac:dyDescent="0.25">
      <c r="A29" t="str">
        <f>IF('Dashboard Helper'!A5=0,"",'Dashboard Helper'!A5)</f>
        <v>Greater Chicago Food Depository</v>
      </c>
      <c r="B29" s="13">
        <f>IF(A29="","",GETPIVOTDATA("[Measures].[Count of Contact Food Bank]",'Dashboard Helper'!$A$3,"[Tickets].[Contact Food Bank]","[Tickets].[Contact Food Bank].&amp;["&amp;A29&amp;"]"))</f>
        <v>3</v>
      </c>
      <c r="C29" s="14">
        <f t="shared" ref="C29:C32" si="2">IF(B29="","",B29/SUM($B$28:$B$32))</f>
        <v>0.21428571428571427</v>
      </c>
      <c r="F29" t="str">
        <f>IF('Dashboard Helper'!A227=0,"",'Dashboard Helper'!A227)</f>
        <v>Pam Halpert</v>
      </c>
      <c r="G29" s="13">
        <f>IF(F29="","",GETPIVOTDATA("[Measures].[Count of Contact Name]",'Dashboard Helper'!$A$225,"[Tickets].[Contact Name]","[Tickets].[Contact Name].&amp;["&amp;F29&amp;"]"))</f>
        <v>1</v>
      </c>
      <c r="H29" s="14">
        <f t="shared" ref="H29:H32" si="3">IF(G29="","",G29/SUM($G$28:$G$32))</f>
        <v>0.14285714285714285</v>
      </c>
    </row>
    <row r="30" spans="1:8" x14ac:dyDescent="0.25">
      <c r="A30" t="str">
        <f>IF('Dashboard Helper'!A6=0,"",'Dashboard Helper'!A6)</f>
        <v>Second Harvest Food Bank</v>
      </c>
      <c r="B30" s="13">
        <f>IF(A30="","",GETPIVOTDATA("[Measures].[Count of Contact Food Bank]",'Dashboard Helper'!$A$3,"[Tickets].[Contact Food Bank]","[Tickets].[Contact Food Bank].&amp;["&amp;A30&amp;"]"))</f>
        <v>2</v>
      </c>
      <c r="C30" s="14">
        <f t="shared" si="2"/>
        <v>0.14285714285714285</v>
      </c>
      <c r="F30" t="str">
        <f>IF('Dashboard Helper'!A228=0,"",'Dashboard Helper'!A228)</f>
        <v>Michael Scott</v>
      </c>
      <c r="G30" s="13">
        <f>IF(F30="","",GETPIVOTDATA("[Measures].[Count of Contact Name]",'Dashboard Helper'!$A$225,"[Tickets].[Contact Name]","[Tickets].[Contact Name].&amp;["&amp;F30&amp;"]"))</f>
        <v>1</v>
      </c>
      <c r="H30" s="14">
        <f t="shared" si="3"/>
        <v>0.14285714285714285</v>
      </c>
    </row>
    <row r="31" spans="1:8" x14ac:dyDescent="0.25">
      <c r="A31" t="str">
        <f>IF('Dashboard Helper'!A7=0,"",'Dashboard Helper'!A7)</f>
        <v>Food Bank of Northern Nevada</v>
      </c>
      <c r="B31" s="13">
        <f>IF(A31="","",GETPIVOTDATA("[Measures].[Count of Contact Food Bank]",'Dashboard Helper'!$A$3,"[Tickets].[Contact Food Bank]","[Tickets].[Contact Food Bank].&amp;["&amp;A31&amp;"]"))</f>
        <v>2</v>
      </c>
      <c r="C31" s="14">
        <f t="shared" si="2"/>
        <v>0.14285714285714285</v>
      </c>
      <c r="F31" t="str">
        <f>IF('Dashboard Helper'!A229=0,"",'Dashboard Helper'!A229)</f>
        <v>Stanley Hudson</v>
      </c>
      <c r="G31" s="13">
        <f>IF(F31="","",GETPIVOTDATA("[Measures].[Count of Contact Name]",'Dashboard Helper'!$A$225,"[Tickets].[Contact Name]","[Tickets].[Contact Name].&amp;["&amp;F31&amp;"]"))</f>
        <v>1</v>
      </c>
      <c r="H31" s="14">
        <f t="shared" si="3"/>
        <v>0.14285714285714285</v>
      </c>
    </row>
    <row r="32" spans="1:8" x14ac:dyDescent="0.25">
      <c r="A32" t="str">
        <f>IF('Dashboard Helper'!A8=0,"",'Dashboard Helper'!A8)</f>
        <v>Northern Illinois Food Bank</v>
      </c>
      <c r="B32" s="13">
        <f>IF(A32="","",GETPIVOTDATA("[Measures].[Count of Contact Food Bank]",'Dashboard Helper'!$A$3,"[Tickets].[Contact Food Bank]","[Tickets].[Contact Food Bank].&amp;["&amp;A32&amp;"]"))</f>
        <v>2</v>
      </c>
      <c r="C32" s="14">
        <f t="shared" si="2"/>
        <v>0.14285714285714285</v>
      </c>
      <c r="F32" t="str">
        <f>IF('Dashboard Helper'!A230=0,"",'Dashboard Helper'!A230)</f>
        <v>Dwight Schrute</v>
      </c>
      <c r="G32" s="13">
        <f>IF(F32="","",GETPIVOTDATA("[Measures].[Count of Contact Name]",'Dashboard Helper'!$A$225,"[Tickets].[Contact Name]","[Tickets].[Contact Name].&amp;["&amp;F32&amp;"]"))</f>
        <v>1</v>
      </c>
      <c r="H32" s="14">
        <f t="shared" si="3"/>
        <v>0.14285714285714285</v>
      </c>
    </row>
  </sheetData>
  <sheetProtection sheet="1" scenarios="1" selectLockedCells="1" selectUnlockedCells="1"/>
  <mergeCells count="4">
    <mergeCell ref="M9:O11"/>
    <mergeCell ref="M4:O6"/>
    <mergeCell ref="H9:J11"/>
    <mergeCell ref="H4:J6"/>
  </mergeCells>
  <pageMargins left="0.7" right="0.7" top="0.75" bottom="0.75" header="0.3" footer="0.3"/>
  <pageSetup scale="6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cr_load_new_ticket_form">
                <anchor moveWithCells="1" sizeWithCells="1">
                  <from>
                    <xdr:col>10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20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cr_load_work_form">
                <anchor moveWithCells="1" sizeWithCells="1">
                  <from>
                    <xdr:col>10</xdr:col>
                    <xdr:colOff>0</xdr:colOff>
                    <xdr:row>22</xdr:row>
                    <xdr:rowOff>104775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7"/>
  <sheetViews>
    <sheetView workbookViewId="0"/>
  </sheetViews>
  <sheetFormatPr defaultRowHeight="15" x14ac:dyDescent="0.25"/>
  <cols>
    <col min="1" max="1" width="11.140625" bestFit="1" customWidth="1"/>
    <col min="2" max="2" width="21.42578125" bestFit="1" customWidth="1"/>
    <col min="3" max="3" width="16.28515625" bestFit="1" customWidth="1"/>
    <col min="4" max="4" width="34" bestFit="1" customWidth="1"/>
    <col min="5" max="5" width="30.7109375" bestFit="1" customWidth="1"/>
    <col min="6" max="6" width="12.7109375" bestFit="1" customWidth="1"/>
    <col min="7" max="7" width="15.7109375" bestFit="1" customWidth="1"/>
    <col min="8" max="8" width="33.28515625" customWidth="1"/>
    <col min="9" max="9" width="15.140625" bestFit="1" customWidth="1"/>
    <col min="10" max="10" width="18.42578125" bestFit="1" customWidth="1"/>
    <col min="11" max="11" width="11.140625" bestFit="1" customWidth="1"/>
    <col min="12" max="12" width="6.7109375" bestFit="1" customWidth="1"/>
    <col min="13" max="13" width="20.28515625" bestFit="1" customWidth="1"/>
  </cols>
  <sheetData>
    <row r="1" spans="1:13" ht="21" x14ac:dyDescent="0.35">
      <c r="A1" s="1" t="s">
        <v>0</v>
      </c>
      <c r="C1" s="2"/>
      <c r="J1" s="4"/>
    </row>
    <row r="3" spans="1:13" x14ac:dyDescent="0.25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6</v>
      </c>
      <c r="G3" t="s">
        <v>7</v>
      </c>
      <c r="H3" t="s">
        <v>8</v>
      </c>
      <c r="I3" t="s">
        <v>9</v>
      </c>
      <c r="J3" t="s">
        <v>26</v>
      </c>
      <c r="K3" t="s">
        <v>27</v>
      </c>
      <c r="L3" t="s">
        <v>28</v>
      </c>
      <c r="M3" t="s">
        <v>83</v>
      </c>
    </row>
    <row r="4" spans="1:13" x14ac:dyDescent="0.25">
      <c r="A4" t="s">
        <v>61</v>
      </c>
      <c r="B4" s="4">
        <v>44774.921840277777</v>
      </c>
      <c r="C4" t="s">
        <v>43</v>
      </c>
      <c r="D4" s="5" t="s">
        <v>54</v>
      </c>
      <c r="E4" t="s">
        <v>15</v>
      </c>
      <c r="F4" t="s">
        <v>23</v>
      </c>
      <c r="G4" t="s">
        <v>17</v>
      </c>
      <c r="I4" t="s">
        <v>19</v>
      </c>
      <c r="J4" s="4" cm="1">
        <f t="array" ref="J4">IF(
ISNUMBER(MATCH(Tickets[[#This Row],[Ticket ID]],Work[Ticket ID],0)),
INDEX(Work[Work Date],LARGE(IF(Work[Ticket ID]=Tickets[[#This Row],[Ticket ID]],ROW(Work[Ticket ID])-ROW(INDEX(Work[Ticket ID],1,1))+1),1)),
"")</f>
        <v>44775.999988425923</v>
      </c>
      <c r="K4" t="str" cm="1">
        <f t="array" ref="K4">IF(Tickets[[#This Row],[Last Status Date]]="","Not Started",
INDEX(Work[],MATCH(1,(Work[Ticket ID]=Tickets[[#This Row],[Ticket ID]])*(Work[Work Date]=Tickets[[#This Row],[Last Status Date]]),0),MATCH("New Ticket Status",Work[#Headers],0)))</f>
        <v>Waiting on User</v>
      </c>
      <c r="L4" s="3">
        <f ca="1">DATEDIF(Tickets[[#This Row],[Ticket Creation Date]],TODAY(),"d")</f>
        <v>64</v>
      </c>
      <c r="M4">
        <f>IF(Tickets[[#This Row],[Status]]="Resolved",DATEDIF(Tickets[[#This Row],[Ticket Creation Date]],Tickets[[#This Row],[Last Status Date]],"d"),0)</f>
        <v>0</v>
      </c>
    </row>
    <row r="5" spans="1:13" x14ac:dyDescent="0.25">
      <c r="A5" t="s">
        <v>62</v>
      </c>
      <c r="B5" s="4">
        <v>44781.921840277777</v>
      </c>
      <c r="C5" t="s">
        <v>45</v>
      </c>
      <c r="D5" s="5" t="s">
        <v>56</v>
      </c>
      <c r="E5" t="s">
        <v>16</v>
      </c>
      <c r="F5" t="s">
        <v>22</v>
      </c>
      <c r="G5" t="s">
        <v>18</v>
      </c>
      <c r="I5" t="s">
        <v>21</v>
      </c>
      <c r="J5" s="4" cm="1">
        <f t="array" ref="J5">IF(
ISNUMBER(MATCH(Tickets[[#This Row],[Ticket ID]],Work[Ticket ID],0)),
INDEX(Work[Work Date],LARGE(IF(Work[Ticket ID]=Tickets[[#This Row],[Ticket ID]],ROW(Work[Ticket ID])-ROW(INDEX(Work[Ticket ID],1,1))+1),1)),
"")</f>
        <v>44782.999988425923</v>
      </c>
      <c r="K5" t="str" cm="1">
        <f t="array" ref="K5">IF(Tickets[[#This Row],[Last Status Date]]="","Not Started",
INDEX(Work[],MATCH(1,(Work[Ticket ID]=Tickets[[#This Row],[Ticket ID]])*(Work[Work Date]=Tickets[[#This Row],[Last Status Date]]),0),MATCH("New Ticket Status",Work[#Headers],0)))</f>
        <v>Resolved</v>
      </c>
      <c r="L5" s="3">
        <f ca="1">DATEDIF(Tickets[[#This Row],[Ticket Creation Date]],TODAY(),"d")</f>
        <v>57</v>
      </c>
      <c r="M5">
        <f>IF(Tickets[[#This Row],[Status]]="Resolved",DATEDIF(Tickets[[#This Row],[Ticket Creation Date]],Tickets[[#This Row],[Last Status Date]],"d"),0)</f>
        <v>1</v>
      </c>
    </row>
    <row r="6" spans="1:13" x14ac:dyDescent="0.25">
      <c r="A6" t="s">
        <v>63</v>
      </c>
      <c r="B6" s="4">
        <v>44794.921840277777</v>
      </c>
      <c r="C6" t="s">
        <v>44</v>
      </c>
      <c r="D6" s="5" t="s">
        <v>55</v>
      </c>
      <c r="E6" t="s">
        <v>96</v>
      </c>
      <c r="F6" t="s">
        <v>22</v>
      </c>
      <c r="G6" t="s">
        <v>17</v>
      </c>
      <c r="I6" t="s">
        <v>20</v>
      </c>
      <c r="J6" s="4" cm="1">
        <f t="array" ref="J6">IF(
ISNUMBER(MATCH(Tickets[[#This Row],[Ticket ID]],Work[Ticket ID],0)),
INDEX(Work[Work Date],LARGE(IF(Work[Ticket ID]=Tickets[[#This Row],[Ticket ID]],ROW(Work[Ticket ID])-ROW(INDEX(Work[Ticket ID],1,1))+1),1)),
"")</f>
        <v>44795.999988425923</v>
      </c>
      <c r="K6" t="str" cm="1">
        <f t="array" ref="K6">IF(Tickets[[#This Row],[Last Status Date]]="","Not Started",
INDEX(Work[],MATCH(1,(Work[Ticket ID]=Tickets[[#This Row],[Ticket ID]])*(Work[Work Date]=Tickets[[#This Row],[Last Status Date]]),0),MATCH("New Ticket Status",Work[#Headers],0)))</f>
        <v>Escalated</v>
      </c>
      <c r="L6" s="3">
        <f ca="1">DATEDIF(Tickets[[#This Row],[Ticket Creation Date]],TODAY(),"d")</f>
        <v>44</v>
      </c>
      <c r="M6">
        <f>IF(Tickets[[#This Row],[Status]]="Resolved",DATEDIF(Tickets[[#This Row],[Ticket Creation Date]],Tickets[[#This Row],[Last Status Date]],"d"),0)</f>
        <v>0</v>
      </c>
    </row>
    <row r="7" spans="1:13" x14ac:dyDescent="0.25">
      <c r="A7" t="s">
        <v>64</v>
      </c>
      <c r="B7" s="4">
        <v>44805.921840277777</v>
      </c>
      <c r="C7" t="s">
        <v>34</v>
      </c>
      <c r="D7" s="5" t="s">
        <v>36</v>
      </c>
      <c r="E7" t="s">
        <v>97</v>
      </c>
      <c r="F7" t="s">
        <v>23</v>
      </c>
      <c r="G7" t="s">
        <v>17</v>
      </c>
      <c r="H7" t="s">
        <v>37</v>
      </c>
      <c r="I7" t="s">
        <v>19</v>
      </c>
      <c r="J7" s="4" cm="1">
        <f t="array" ref="J7">IF(
ISNUMBER(MATCH(Tickets[[#This Row],[Ticket ID]],Work[Ticket ID],0)),
INDEX(Work[Work Date],LARGE(IF(Work[Ticket ID]=Tickets[[#This Row],[Ticket ID]],ROW(Work[Ticket ID])-ROW(INDEX(Work[Ticket ID],1,1))+1),1)),
"")</f>
        <v>44809.999988425923</v>
      </c>
      <c r="K7" t="str">
        <f t="array" ref="K7">IF(Tickets[[#This Row],[Last Status Date]]="","Not Started",
INDEX(Work[],MATCH(1,(Work[Ticket ID]=Tickets[[#This Row],[Ticket ID]])*(Work[Work Date]=Tickets[[#This Row],[Last Status Date]]),0),MATCH("New Ticket Status",Work[#Headers],0)))</f>
        <v>In Progress</v>
      </c>
      <c r="L7" s="3">
        <f ca="1">DATEDIF(Tickets[[#This Row],[Ticket Creation Date]],TODAY(),"d")</f>
        <v>33</v>
      </c>
      <c r="M7">
        <f>IF(Tickets[[#This Row],[Status]]="Resolved",DATEDIF(Tickets[[#This Row],[Ticket Creation Date]],Tickets[[#This Row],[Last Status Date]],"d"),0)</f>
        <v>0</v>
      </c>
    </row>
    <row r="8" spans="1:13" x14ac:dyDescent="0.25">
      <c r="A8" t="s">
        <v>65</v>
      </c>
      <c r="B8" s="4">
        <v>44805.921840277777</v>
      </c>
      <c r="C8" t="s">
        <v>39</v>
      </c>
      <c r="D8" s="5" t="s">
        <v>50</v>
      </c>
      <c r="E8" t="s">
        <v>98</v>
      </c>
      <c r="F8" t="s">
        <v>23</v>
      </c>
      <c r="G8" t="s">
        <v>18</v>
      </c>
      <c r="I8" t="s">
        <v>19</v>
      </c>
      <c r="J8" s="4" cm="1">
        <f t="array" ref="J8">IF(
ISNUMBER(MATCH(Tickets[[#This Row],[Ticket ID]],Work[Ticket ID],0)),
INDEX(Work[Work Date],LARGE(IF(Work[Ticket ID]=Tickets[[#This Row],[Ticket ID]],ROW(Work[Ticket ID])-ROW(INDEX(Work[Ticket ID],1,1))+1),1)),
"")</f>
        <v>44805.999988425923</v>
      </c>
      <c r="K8" t="str" cm="1">
        <f t="array" ref="K8">IF(Tickets[[#This Row],[Last Status Date]]="","Not Started",
INDEX(Work[],MATCH(1,(Work[Ticket ID]=Tickets[[#This Row],[Ticket ID]])*(Work[Work Date]=Tickets[[#This Row],[Last Status Date]]),0),MATCH("New Ticket Status",Work[#Headers],0)))</f>
        <v>Waiting on User</v>
      </c>
      <c r="L8" s="3">
        <f ca="1">DATEDIF(Tickets[[#This Row],[Ticket Creation Date]],TODAY(),"d")</f>
        <v>33</v>
      </c>
      <c r="M8">
        <f>IF(Tickets[[#This Row],[Status]]="Resolved",DATEDIF(Tickets[[#This Row],[Ticket Creation Date]],Tickets[[#This Row],[Last Status Date]],"d"),0)</f>
        <v>0</v>
      </c>
    </row>
    <row r="9" spans="1:13" x14ac:dyDescent="0.25">
      <c r="A9" t="s">
        <v>66</v>
      </c>
      <c r="B9" s="4">
        <v>44805.921840277777</v>
      </c>
      <c r="C9" t="s">
        <v>49</v>
      </c>
      <c r="D9" s="5" t="s">
        <v>60</v>
      </c>
      <c r="E9" t="s">
        <v>15</v>
      </c>
      <c r="F9" t="s">
        <v>22</v>
      </c>
      <c r="G9" t="s">
        <v>18</v>
      </c>
      <c r="I9" t="s">
        <v>21</v>
      </c>
      <c r="J9" s="4" cm="1">
        <f t="array" ref="J9">IF(
ISNUMBER(MATCH(Tickets[[#This Row],[Ticket ID]],Work[Ticket ID],0)),
INDEX(Work[Work Date],LARGE(IF(Work[Ticket ID]=Tickets[[#This Row],[Ticket ID]],ROW(Work[Ticket ID])-ROW(INDEX(Work[Ticket ID],1,1))+1),1)),
"")</f>
        <v>44822.999988425923</v>
      </c>
      <c r="K9" t="str" cm="1">
        <f t="array" ref="K9">IF(Tickets[[#This Row],[Last Status Date]]="","Not Started",
INDEX(Work[],MATCH(1,(Work[Ticket ID]=Tickets[[#This Row],[Ticket ID]])*(Work[Work Date]=Tickets[[#This Row],[Last Status Date]]),0),MATCH("New Ticket Status",Work[#Headers],0)))</f>
        <v>Resolved</v>
      </c>
      <c r="L9" s="3">
        <f ca="1">DATEDIF(Tickets[[#This Row],[Ticket Creation Date]],TODAY(),"d")</f>
        <v>33</v>
      </c>
      <c r="M9">
        <f>IF(Tickets[[#This Row],[Status]]="Resolved",DATEDIF(Tickets[[#This Row],[Ticket Creation Date]],Tickets[[#This Row],[Last Status Date]],"d"),0)</f>
        <v>17</v>
      </c>
    </row>
    <row r="10" spans="1:13" x14ac:dyDescent="0.25">
      <c r="A10" t="s">
        <v>67</v>
      </c>
      <c r="B10" s="4">
        <v>44817.921840277777</v>
      </c>
      <c r="C10" t="s">
        <v>40</v>
      </c>
      <c r="D10" s="5" t="s">
        <v>51</v>
      </c>
      <c r="E10" t="s">
        <v>16</v>
      </c>
      <c r="F10" t="s">
        <v>22</v>
      </c>
      <c r="G10" t="s">
        <v>17</v>
      </c>
      <c r="I10" t="s">
        <v>20</v>
      </c>
      <c r="J10" s="4" cm="1">
        <f t="array" ref="J10">IF(
ISNUMBER(MATCH(Tickets[[#This Row],[Ticket ID]],Work[Ticket ID],0)),
INDEX(Work[Work Date],LARGE(IF(Work[Ticket ID]=Tickets[[#This Row],[Ticket ID]],ROW(Work[Ticket ID])-ROW(INDEX(Work[Ticket ID],1,1))+1),1)),
"")</f>
        <v>44819.999988425923</v>
      </c>
      <c r="K10" t="str" cm="1">
        <f t="array" ref="K10">IF(Tickets[[#This Row],[Last Status Date]]="","Not Started",
INDEX(Work[],MATCH(1,(Work[Ticket ID]=Tickets[[#This Row],[Ticket ID]])*(Work[Work Date]=Tickets[[#This Row],[Last Status Date]]),0),MATCH("New Ticket Status",Work[#Headers],0)))</f>
        <v>Escalated</v>
      </c>
      <c r="L10" s="3">
        <f ca="1">DATEDIF(Tickets[[#This Row],[Ticket Creation Date]],TODAY(),"d")</f>
        <v>21</v>
      </c>
      <c r="M10">
        <f>IF(Tickets[[#This Row],[Status]]="Resolved",DATEDIF(Tickets[[#This Row],[Ticket Creation Date]],Tickets[[#This Row],[Last Status Date]],"d"),0)</f>
        <v>0</v>
      </c>
    </row>
    <row r="11" spans="1:13" x14ac:dyDescent="0.25">
      <c r="A11" t="s">
        <v>68</v>
      </c>
      <c r="B11" s="4">
        <v>44825.921840277777</v>
      </c>
      <c r="C11" t="s">
        <v>41</v>
      </c>
      <c r="D11" s="5" t="s">
        <v>52</v>
      </c>
      <c r="E11" t="s">
        <v>96</v>
      </c>
      <c r="F11" t="s">
        <v>23</v>
      </c>
      <c r="G11" t="s">
        <v>18</v>
      </c>
      <c r="I11" t="s">
        <v>19</v>
      </c>
      <c r="J11" s="4" cm="1">
        <f t="array" ref="J11">IF(
ISNUMBER(MATCH(Tickets[[#This Row],[Ticket ID]],Work[Ticket ID],0)),
INDEX(Work[Work Date],LARGE(IF(Work[Ticket ID]=Tickets[[#This Row],[Ticket ID]],ROW(Work[Ticket ID])-ROW(INDEX(Work[Ticket ID],1,1))+1),1)),
"")</f>
        <v>44825.999988425923</v>
      </c>
      <c r="K11" t="str" cm="1">
        <f t="array" ref="K11">IF(Tickets[[#This Row],[Last Status Date]]="","Not Started",
INDEX(Work[],MATCH(1,(Work[Ticket ID]=Tickets[[#This Row],[Ticket ID]])*(Work[Work Date]=Tickets[[#This Row],[Last Status Date]]),0),MATCH("New Ticket Status",Work[#Headers],0)))</f>
        <v>In Progress</v>
      </c>
      <c r="L11" s="3">
        <f ca="1">DATEDIF(Tickets[[#This Row],[Ticket Creation Date]],TODAY(),"d")</f>
        <v>13</v>
      </c>
      <c r="M11">
        <f>IF(Tickets[[#This Row],[Status]]="Resolved",DATEDIF(Tickets[[#This Row],[Ticket Creation Date]],Tickets[[#This Row],[Last Status Date]],"d"),0)</f>
        <v>0</v>
      </c>
    </row>
    <row r="12" spans="1:13" x14ac:dyDescent="0.25">
      <c r="A12" t="s">
        <v>69</v>
      </c>
      <c r="B12" s="4">
        <v>44834.921840277777</v>
      </c>
      <c r="C12" t="s">
        <v>42</v>
      </c>
      <c r="D12" s="5" t="s">
        <v>53</v>
      </c>
      <c r="E12" t="s">
        <v>97</v>
      </c>
      <c r="F12" t="s">
        <v>23</v>
      </c>
      <c r="G12" t="s">
        <v>17</v>
      </c>
      <c r="I12" t="s">
        <v>21</v>
      </c>
      <c r="J12" s="4" t="str" cm="1">
        <f t="array" ref="J12">IF(
ISNUMBER(MATCH(Tickets[[#This Row],[Ticket ID]],Work[Ticket ID],0)),
INDEX(Work[Work Date],LARGE(IF(Work[Ticket ID]=Tickets[[#This Row],[Ticket ID]],ROW(Work[Ticket ID])-ROW(INDEX(Work[Ticket ID],1,1))+1),1)),
"")</f>
        <v/>
      </c>
      <c r="K12" t="str" cm="1">
        <f t="array" ref="K12">IF(Tickets[[#This Row],[Last Status Date]]="","Not Started",
INDEX(Work[],MATCH(1,(Work[Ticket ID]=Tickets[[#This Row],[Ticket ID]])*(Work[Work Date]=Tickets[[#This Row],[Last Status Date]]),0),MATCH("New Ticket Status",Work[#Headers],0)))</f>
        <v>Not Started</v>
      </c>
      <c r="L12" s="3">
        <f ca="1">DATEDIF(Tickets[[#This Row],[Ticket Creation Date]],TODAY(),"d")</f>
        <v>4</v>
      </c>
      <c r="M12">
        <f>IF(Tickets[[#This Row],[Status]]="Resolved",DATEDIF(Tickets[[#This Row],[Ticket Creation Date]],Tickets[[#This Row],[Last Status Date]],"d"),0)</f>
        <v>0</v>
      </c>
    </row>
    <row r="13" spans="1:13" x14ac:dyDescent="0.25">
      <c r="A13" t="s">
        <v>24</v>
      </c>
      <c r="B13" s="4">
        <v>44835.921840277777</v>
      </c>
      <c r="C13" t="s">
        <v>48</v>
      </c>
      <c r="D13" s="5" t="s">
        <v>59</v>
      </c>
      <c r="E13" t="s">
        <v>98</v>
      </c>
      <c r="F13" t="s">
        <v>22</v>
      </c>
      <c r="G13" t="s">
        <v>18</v>
      </c>
      <c r="I13" t="s">
        <v>20</v>
      </c>
      <c r="J13" s="4" cm="1">
        <f t="array" ref="J13">IF(
ISNUMBER(MATCH(Tickets[[#This Row],[Ticket ID]],Work[Ticket ID],0)),
INDEX(Work[Work Date],LARGE(IF(Work[Ticket ID]=Tickets[[#This Row],[Ticket ID]],ROW(Work[Ticket ID])-ROW(INDEX(Work[Ticket ID],1,1))+1),1)),
"")</f>
        <v>44838</v>
      </c>
      <c r="K13" t="str" cm="1">
        <f t="array" ref="K13">IF(Tickets[[#This Row],[Last Status Date]]="","Not Started",
INDEX(Work[],MATCH(1,(Work[Ticket ID]=Tickets[[#This Row],[Ticket ID]])*(Work[Work Date]=Tickets[[#This Row],[Last Status Date]]),0),MATCH("New Ticket Status",Work[#Headers],0)))</f>
        <v>Waiting on User</v>
      </c>
      <c r="L13" s="3">
        <f ca="1">DATEDIF(Tickets[[#This Row],[Ticket Creation Date]],TODAY(),"d")</f>
        <v>3</v>
      </c>
      <c r="M13">
        <f>IF(Tickets[[#This Row],[Status]]="Resolved",DATEDIF(Tickets[[#This Row],[Ticket Creation Date]],Tickets[[#This Row],[Last Status Date]],"d"),0)</f>
        <v>0</v>
      </c>
    </row>
    <row r="14" spans="1:13" x14ac:dyDescent="0.25">
      <c r="A14" t="s">
        <v>25</v>
      </c>
      <c r="B14" s="4">
        <v>44835.922256944446</v>
      </c>
      <c r="C14" t="s">
        <v>34</v>
      </c>
      <c r="D14" s="5" t="s">
        <v>35</v>
      </c>
      <c r="E14" t="s">
        <v>16</v>
      </c>
      <c r="F14" t="s">
        <v>22</v>
      </c>
      <c r="G14" t="s">
        <v>18</v>
      </c>
      <c r="H14" t="s">
        <v>38</v>
      </c>
      <c r="I14" t="s">
        <v>21</v>
      </c>
      <c r="J14" s="4" cm="1">
        <f t="array" ref="J14">IF(
ISNUMBER(MATCH(Tickets[[#This Row],[Ticket ID]],Work[Ticket ID],0)),
INDEX(Work[Work Date],LARGE(IF(Work[Ticket ID]=Tickets[[#This Row],[Ticket ID]],ROW(Work[Ticket ID])-ROW(INDEX(Work[Ticket ID],1,1))+1),1)),
"")</f>
        <v>44838</v>
      </c>
      <c r="K14" t="str" cm="1">
        <f t="array" ref="K14">IF(Tickets[[#This Row],[Last Status Date]]="","Not Started",
INDEX(Work[],MATCH(1,(Work[Ticket ID]=Tickets[[#This Row],[Ticket ID]])*(Work[Work Date]=Tickets[[#This Row],[Last Status Date]]),0),MATCH("New Ticket Status",Work[#Headers],0)))</f>
        <v>Waiting on User</v>
      </c>
      <c r="L14" s="3">
        <f ca="1">DATEDIF(Tickets[[#This Row],[Ticket Creation Date]],TODAY(),"d")</f>
        <v>3</v>
      </c>
      <c r="M14">
        <f>IF(Tickets[[#This Row],[Status]]="Resolved",DATEDIF(Tickets[[#This Row],[Ticket Creation Date]],Tickets[[#This Row],[Last Status Date]],"d"),0)</f>
        <v>0</v>
      </c>
    </row>
    <row r="15" spans="1:13" x14ac:dyDescent="0.25">
      <c r="A15" t="s">
        <v>70</v>
      </c>
      <c r="B15" s="4">
        <v>44836.921840277777</v>
      </c>
      <c r="C15" t="s">
        <v>46</v>
      </c>
      <c r="D15" s="5" t="s">
        <v>57</v>
      </c>
      <c r="E15" t="s">
        <v>15</v>
      </c>
      <c r="F15" t="s">
        <v>23</v>
      </c>
      <c r="G15" t="s">
        <v>17</v>
      </c>
      <c r="I15" t="s">
        <v>20</v>
      </c>
      <c r="J15" s="4" t="str" cm="1">
        <f t="array" ref="J15">IF(
ISNUMBER(MATCH(Tickets[[#This Row],[Ticket ID]],Work[Ticket ID],0)),
INDEX(Work[Work Date],LARGE(IF(Work[Ticket ID]=Tickets[[#This Row],[Ticket ID]],ROW(Work[Ticket ID])-ROW(INDEX(Work[Ticket ID],1,1))+1),1)),
"")</f>
        <v/>
      </c>
      <c r="K15" t="str" cm="1">
        <f t="array" ref="K15">IF(Tickets[[#This Row],[Last Status Date]]="","Not Started",
INDEX(Work[],MATCH(1,(Work[Ticket ID]=Tickets[[#This Row],[Ticket ID]])*(Work[Work Date]=Tickets[[#This Row],[Last Status Date]]),0),MATCH("New Ticket Status",Work[#Headers],0)))</f>
        <v>Not Started</v>
      </c>
      <c r="L15" s="3">
        <f ca="1">DATEDIF(Tickets[[#This Row],[Ticket Creation Date]],TODAY(),"d")</f>
        <v>2</v>
      </c>
      <c r="M15">
        <f>IF(Tickets[[#This Row],[Status]]="Resolved",DATEDIF(Tickets[[#This Row],[Ticket Creation Date]],Tickets[[#This Row],[Last Status Date]],"d"),0)</f>
        <v>0</v>
      </c>
    </row>
    <row r="16" spans="1:13" x14ac:dyDescent="0.25">
      <c r="A16" t="s">
        <v>71</v>
      </c>
      <c r="B16" s="4">
        <v>44836.921840277777</v>
      </c>
      <c r="C16" t="s">
        <v>47</v>
      </c>
      <c r="D16" s="5" t="s">
        <v>58</v>
      </c>
      <c r="E16" t="s">
        <v>16</v>
      </c>
      <c r="F16" t="s">
        <v>23</v>
      </c>
      <c r="G16" t="s">
        <v>18</v>
      </c>
      <c r="I16" t="s">
        <v>20</v>
      </c>
      <c r="J16" s="4" t="str" cm="1">
        <f t="array" ref="J16">IF(
ISNUMBER(MATCH(Tickets[[#This Row],[Ticket ID]],Work[Ticket ID],0)),
INDEX(Work[Work Date],LARGE(IF(Work[Ticket ID]=Tickets[[#This Row],[Ticket ID]],ROW(Work[Ticket ID])-ROW(INDEX(Work[Ticket ID],1,1))+1),1)),
"")</f>
        <v/>
      </c>
      <c r="K16" t="str" cm="1">
        <f t="array" ref="K16">IF(Tickets[[#This Row],[Last Status Date]]="","Not Started",
INDEX(Work[],MATCH(1,(Work[Ticket ID]=Tickets[[#This Row],[Ticket ID]])*(Work[Work Date]=Tickets[[#This Row],[Last Status Date]]),0),MATCH("New Ticket Status",Work[#Headers],0)))</f>
        <v>Not Started</v>
      </c>
      <c r="L16" s="3">
        <f ca="1">DATEDIF(Tickets[[#This Row],[Ticket Creation Date]],TODAY(),"d")</f>
        <v>2</v>
      </c>
      <c r="M16">
        <f>IF(Tickets[[#This Row],[Status]]="Resolved",DATEDIF(Tickets[[#This Row],[Ticket Creation Date]],Tickets[[#This Row],[Last Status Date]],"d"),0)</f>
        <v>0</v>
      </c>
    </row>
    <row r="17" spans="1:13" x14ac:dyDescent="0.25">
      <c r="A17" t="s">
        <v>101</v>
      </c>
      <c r="B17" s="4">
        <v>44838.783842592595</v>
      </c>
      <c r="C17" t="s">
        <v>34</v>
      </c>
      <c r="D17" s="5" t="s">
        <v>36</v>
      </c>
      <c r="E17" t="s">
        <v>16</v>
      </c>
      <c r="F17" t="s">
        <v>22</v>
      </c>
      <c r="G17" t="s">
        <v>17</v>
      </c>
      <c r="H17" t="s">
        <v>102</v>
      </c>
      <c r="I17" t="s">
        <v>19</v>
      </c>
      <c r="J17" s="4" t="str" cm="1">
        <f t="array" ref="J17">IF(
ISNUMBER(MATCH(Tickets[[#This Row],[Ticket ID]],Work[Ticket ID],0)),
INDEX(Work[Work Date],LARGE(IF(Work[Ticket ID]=Tickets[[#This Row],[Ticket ID]],ROW(Work[Ticket ID])-ROW(INDEX(Work[Ticket ID],1,1))+1),1)),
"")</f>
        <v/>
      </c>
      <c r="K17" t="str" cm="1">
        <f t="array" ref="K17">IF(Tickets[[#This Row],[Last Status Date]]="","Not Started",
INDEX(Work[],MATCH(1,(Work[Ticket ID]=Tickets[[#This Row],[Ticket ID]])*(Work[Work Date]=Tickets[[#This Row],[Last Status Date]]),0),MATCH("New Ticket Status",Work[#Headers],0)))</f>
        <v>Not Started</v>
      </c>
      <c r="L17" s="3">
        <f ca="1">DATEDIF(Tickets[[#This Row],[Ticket Creation Date]],TODAY(),"d")</f>
        <v>0</v>
      </c>
      <c r="M17" s="3">
        <f>IF(Tickets[[#This Row],[Status]]="Resolved",DATEDIF(Tickets[[#This Row],[Ticket Creation Date]],Tickets[[#This Row],[Last Status Date]],"d"),0)</f>
        <v>0</v>
      </c>
    </row>
  </sheetData>
  <hyperlinks>
    <hyperlink ref="D8" r:id="rId1" xr:uid="{27B64D65-6893-45A4-BFF3-B6F9F2DB01BD}"/>
    <hyperlink ref="D10" r:id="rId2" xr:uid="{E3A4C790-F93E-403F-A784-A61732F7F7DC}"/>
    <hyperlink ref="D11" r:id="rId3" xr:uid="{B75D86FA-CF49-429F-8B48-671CD1A7B4E5}"/>
    <hyperlink ref="D12" r:id="rId4" xr:uid="{26E63DCC-CE15-4287-A997-2C0B86D7F1F6}"/>
    <hyperlink ref="D4" r:id="rId5" xr:uid="{B9EEE41D-0B5E-4FD9-87E2-073BE9FE3E89}"/>
    <hyperlink ref="D6" r:id="rId6" xr:uid="{E12E1559-1DCA-4F5A-B6A1-3D433FCFDC99}"/>
    <hyperlink ref="D5" r:id="rId7" xr:uid="{1FD7C3B7-F0C7-4026-BD90-CEC26FDEB9F1}"/>
    <hyperlink ref="D15" r:id="rId8" xr:uid="{DA02734D-8882-4B72-88EB-44A4934F43AD}"/>
    <hyperlink ref="D16" r:id="rId9" xr:uid="{E85C86DE-8794-4E75-8523-C2B73FC5027F}"/>
    <hyperlink ref="D13" r:id="rId10" xr:uid="{D70FEB61-4C48-4CF5-8F7D-D82DA7FF2B88}"/>
    <hyperlink ref="D9" r:id="rId11" xr:uid="{2F4C6317-AEAA-41C0-B7D9-F6BF1B28FCA2}"/>
  </hyperlinks>
  <pageMargins left="0.7" right="0.7" top="0.75" bottom="0.75" header="0.3" footer="0.3"/>
  <pageSetup orientation="portrait" r:id="rId12"/>
  <tableParts count="1"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FFEF8-245F-493F-96DC-4F15F3341817}">
  <sheetPr codeName="Sheet2"/>
  <dimension ref="A1:D14"/>
  <sheetViews>
    <sheetView workbookViewId="0">
      <selection activeCell="A13" sqref="A13"/>
    </sheetView>
  </sheetViews>
  <sheetFormatPr defaultRowHeight="15" x14ac:dyDescent="0.25"/>
  <cols>
    <col min="1" max="1" width="11.140625" bestFit="1" customWidth="1"/>
    <col min="2" max="2" width="26.5703125" customWidth="1"/>
    <col min="3" max="3" width="19.140625" bestFit="1" customWidth="1"/>
    <col min="4" max="4" width="19.7109375" bestFit="1" customWidth="1"/>
  </cols>
  <sheetData>
    <row r="1" spans="1:4" ht="21" x14ac:dyDescent="0.35">
      <c r="A1" s="1" t="s">
        <v>10</v>
      </c>
    </row>
    <row r="3" spans="1:4" x14ac:dyDescent="0.25">
      <c r="A3" t="s">
        <v>1</v>
      </c>
      <c r="B3" t="s">
        <v>11</v>
      </c>
      <c r="C3" t="s">
        <v>12</v>
      </c>
      <c r="D3" t="s">
        <v>13</v>
      </c>
    </row>
    <row r="4" spans="1:4" x14ac:dyDescent="0.25">
      <c r="A4" t="s">
        <v>24</v>
      </c>
      <c r="B4" s="4">
        <v>44835.999988425923</v>
      </c>
      <c r="C4" t="s">
        <v>72</v>
      </c>
      <c r="D4" t="s">
        <v>30</v>
      </c>
    </row>
    <row r="5" spans="1:4" x14ac:dyDescent="0.25">
      <c r="A5" t="s">
        <v>61</v>
      </c>
      <c r="B5" s="4">
        <v>44775.999988425923</v>
      </c>
      <c r="C5" t="s">
        <v>75</v>
      </c>
      <c r="D5" t="s">
        <v>31</v>
      </c>
    </row>
    <row r="6" spans="1:4" x14ac:dyDescent="0.25">
      <c r="A6" t="s">
        <v>62</v>
      </c>
      <c r="B6" s="4">
        <v>44782.999988425923</v>
      </c>
      <c r="C6" t="s">
        <v>73</v>
      </c>
      <c r="D6" t="s">
        <v>32</v>
      </c>
    </row>
    <row r="7" spans="1:4" x14ac:dyDescent="0.25">
      <c r="A7" t="s">
        <v>63</v>
      </c>
      <c r="B7" s="4">
        <v>44795.999988425923</v>
      </c>
      <c r="C7" t="s">
        <v>74</v>
      </c>
      <c r="D7" t="s">
        <v>33</v>
      </c>
    </row>
    <row r="8" spans="1:4" x14ac:dyDescent="0.25">
      <c r="A8" t="s">
        <v>64</v>
      </c>
      <c r="B8" s="4">
        <v>44809.999988425923</v>
      </c>
      <c r="C8" t="s">
        <v>72</v>
      </c>
      <c r="D8" t="s">
        <v>30</v>
      </c>
    </row>
    <row r="9" spans="1:4" x14ac:dyDescent="0.25">
      <c r="A9" t="s">
        <v>65</v>
      </c>
      <c r="B9" s="4">
        <v>44805.999988425923</v>
      </c>
      <c r="C9" t="s">
        <v>75</v>
      </c>
      <c r="D9" t="s">
        <v>31</v>
      </c>
    </row>
    <row r="10" spans="1:4" x14ac:dyDescent="0.25">
      <c r="A10" t="s">
        <v>66</v>
      </c>
      <c r="B10" s="4">
        <v>44822.999988425923</v>
      </c>
      <c r="C10" t="s">
        <v>73</v>
      </c>
      <c r="D10" t="s">
        <v>32</v>
      </c>
    </row>
    <row r="11" spans="1:4" x14ac:dyDescent="0.25">
      <c r="A11" t="s">
        <v>67</v>
      </c>
      <c r="B11" s="4">
        <v>44819.999988425923</v>
      </c>
      <c r="C11" t="s">
        <v>74</v>
      </c>
      <c r="D11" t="s">
        <v>33</v>
      </c>
    </row>
    <row r="12" spans="1:4" x14ac:dyDescent="0.25">
      <c r="A12" t="s">
        <v>68</v>
      </c>
      <c r="B12" s="4">
        <v>44825.999988425923</v>
      </c>
      <c r="C12" t="s">
        <v>72</v>
      </c>
      <c r="D12" t="s">
        <v>30</v>
      </c>
    </row>
    <row r="13" spans="1:4" x14ac:dyDescent="0.25">
      <c r="A13" t="s">
        <v>24</v>
      </c>
      <c r="B13" s="4">
        <v>44838</v>
      </c>
      <c r="C13" t="s">
        <v>104</v>
      </c>
      <c r="D13" t="s">
        <v>31</v>
      </c>
    </row>
    <row r="14" spans="1:4" x14ac:dyDescent="0.25">
      <c r="A14" t="s">
        <v>25</v>
      </c>
      <c r="B14" s="4">
        <v>44838</v>
      </c>
      <c r="C14" t="s">
        <v>103</v>
      </c>
      <c r="D14" t="s">
        <v>31</v>
      </c>
    </row>
  </sheetData>
  <dataValidations count="2">
    <dataValidation type="list" allowBlank="1" showInputMessage="1" showErrorMessage="1" sqref="A4:A14" xr:uid="{57220DDC-B59D-49E1-8EDF-ADD9125B9B58}">
      <formula1>INDIRECT("Tickets[Ticket ID]")</formula1>
    </dataValidation>
    <dataValidation type="list" allowBlank="1" showInputMessage="1" showErrorMessage="1" sqref="D4:D14" xr:uid="{816128DD-466F-4C57-9A10-351DB9C4670B}">
      <formula1>INDIRECT("tbl_status[Status]")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0D36C-AB9E-4193-809B-A2E0AD36DFC5}">
  <sheetPr codeName="Sheet3"/>
  <dimension ref="A1:A26"/>
  <sheetViews>
    <sheetView workbookViewId="0"/>
  </sheetViews>
  <sheetFormatPr defaultRowHeight="15" x14ac:dyDescent="0.25"/>
  <cols>
    <col min="1" max="1" width="30.7109375" bestFit="1" customWidth="1"/>
  </cols>
  <sheetData>
    <row r="1" spans="1:1" x14ac:dyDescent="0.25">
      <c r="A1" t="s">
        <v>14</v>
      </c>
    </row>
    <row r="2" spans="1:1" x14ac:dyDescent="0.25">
      <c r="A2" t="s">
        <v>15</v>
      </c>
    </row>
    <row r="3" spans="1:1" x14ac:dyDescent="0.25">
      <c r="A3" t="s">
        <v>16</v>
      </c>
    </row>
    <row r="4" spans="1:1" x14ac:dyDescent="0.25">
      <c r="A4" t="s">
        <v>96</v>
      </c>
    </row>
    <row r="5" spans="1:1" x14ac:dyDescent="0.25">
      <c r="A5" t="s">
        <v>97</v>
      </c>
    </row>
    <row r="6" spans="1:1" x14ac:dyDescent="0.25">
      <c r="A6" t="s">
        <v>98</v>
      </c>
    </row>
    <row r="8" spans="1:1" x14ac:dyDescent="0.25">
      <c r="A8" t="s">
        <v>7</v>
      </c>
    </row>
    <row r="9" spans="1:1" x14ac:dyDescent="0.25">
      <c r="A9" t="s">
        <v>17</v>
      </c>
    </row>
    <row r="10" spans="1:1" x14ac:dyDescent="0.25">
      <c r="A10" t="s">
        <v>18</v>
      </c>
    </row>
    <row r="12" spans="1:1" x14ac:dyDescent="0.25">
      <c r="A12" t="s">
        <v>9</v>
      </c>
    </row>
    <row r="13" spans="1:1" x14ac:dyDescent="0.25">
      <c r="A13" t="s">
        <v>19</v>
      </c>
    </row>
    <row r="14" spans="1:1" x14ac:dyDescent="0.25">
      <c r="A14" t="s">
        <v>21</v>
      </c>
    </row>
    <row r="15" spans="1:1" x14ac:dyDescent="0.25">
      <c r="A15" t="s">
        <v>20</v>
      </c>
    </row>
    <row r="17" spans="1:1" x14ac:dyDescent="0.25">
      <c r="A17" t="s">
        <v>6</v>
      </c>
    </row>
    <row r="18" spans="1:1" x14ac:dyDescent="0.25">
      <c r="A18" t="s">
        <v>22</v>
      </c>
    </row>
    <row r="19" spans="1:1" x14ac:dyDescent="0.25">
      <c r="A19" t="s">
        <v>23</v>
      </c>
    </row>
    <row r="21" spans="1:1" x14ac:dyDescent="0.25">
      <c r="A21" t="s">
        <v>27</v>
      </c>
    </row>
    <row r="22" spans="1:1" x14ac:dyDescent="0.25">
      <c r="A22" t="s">
        <v>29</v>
      </c>
    </row>
    <row r="23" spans="1:1" x14ac:dyDescent="0.25">
      <c r="A23" t="s">
        <v>30</v>
      </c>
    </row>
    <row r="24" spans="1:1" x14ac:dyDescent="0.25">
      <c r="A24" t="s">
        <v>31</v>
      </c>
    </row>
    <row r="25" spans="1:1" x14ac:dyDescent="0.25">
      <c r="A25" t="s">
        <v>32</v>
      </c>
    </row>
    <row r="26" spans="1:1" x14ac:dyDescent="0.25">
      <c r="A26" t="s">
        <v>33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AE68D-C090-4ECD-9350-472A2CC714B1}">
  <sheetPr codeName="Sheet5"/>
  <dimension ref="A1:C543"/>
  <sheetViews>
    <sheetView workbookViewId="0"/>
  </sheetViews>
  <sheetFormatPr defaultRowHeight="15" x14ac:dyDescent="0.25"/>
  <cols>
    <col min="1" max="1" width="15.7109375" bestFit="1" customWidth="1"/>
    <col min="2" max="2" width="18.5703125" bestFit="1" customWidth="1"/>
    <col min="3" max="3" width="28.28515625" bestFit="1" customWidth="1"/>
  </cols>
  <sheetData>
    <row r="1" spans="1:2" x14ac:dyDescent="0.25">
      <c r="A1" s="6" t="s">
        <v>87</v>
      </c>
    </row>
    <row r="3" spans="1:2" x14ac:dyDescent="0.25">
      <c r="A3" s="7" t="s">
        <v>84</v>
      </c>
      <c r="B3" t="s">
        <v>88</v>
      </c>
    </row>
    <row r="4" spans="1:2" x14ac:dyDescent="0.25">
      <c r="A4" s="8" t="s">
        <v>16</v>
      </c>
      <c r="B4" s="3">
        <v>5</v>
      </c>
    </row>
    <row r="5" spans="1:2" x14ac:dyDescent="0.25">
      <c r="A5" s="8" t="s">
        <v>15</v>
      </c>
      <c r="B5" s="3">
        <v>3</v>
      </c>
    </row>
    <row r="6" spans="1:2" x14ac:dyDescent="0.25">
      <c r="A6" s="8" t="s">
        <v>98</v>
      </c>
      <c r="B6" s="3">
        <v>2</v>
      </c>
    </row>
    <row r="7" spans="1:2" x14ac:dyDescent="0.25">
      <c r="A7" s="8" t="s">
        <v>97</v>
      </c>
      <c r="B7" s="3">
        <v>2</v>
      </c>
    </row>
    <row r="8" spans="1:2" x14ac:dyDescent="0.25">
      <c r="A8" s="8" t="s">
        <v>96</v>
      </c>
      <c r="B8" s="3">
        <v>2</v>
      </c>
    </row>
    <row r="223" spans="1:1" x14ac:dyDescent="0.25">
      <c r="A223" s="6" t="s">
        <v>89</v>
      </c>
    </row>
    <row r="225" spans="1:2" x14ac:dyDescent="0.25">
      <c r="A225" s="7" t="s">
        <v>84</v>
      </c>
      <c r="B225" t="s">
        <v>90</v>
      </c>
    </row>
    <row r="226" spans="1:2" x14ac:dyDescent="0.25">
      <c r="A226" s="8" t="s">
        <v>34</v>
      </c>
      <c r="B226" s="3">
        <v>3</v>
      </c>
    </row>
    <row r="227" spans="1:2" x14ac:dyDescent="0.25">
      <c r="A227" s="8" t="s">
        <v>40</v>
      </c>
      <c r="B227" s="3">
        <v>1</v>
      </c>
    </row>
    <row r="228" spans="1:2" x14ac:dyDescent="0.25">
      <c r="A228" s="8" t="s">
        <v>39</v>
      </c>
      <c r="B228" s="3">
        <v>1</v>
      </c>
    </row>
    <row r="229" spans="1:2" x14ac:dyDescent="0.25">
      <c r="A229" s="8" t="s">
        <v>47</v>
      </c>
      <c r="B229" s="3">
        <v>1</v>
      </c>
    </row>
    <row r="230" spans="1:2" x14ac:dyDescent="0.25">
      <c r="A230" s="8" t="s">
        <v>42</v>
      </c>
      <c r="B230" s="3">
        <v>1</v>
      </c>
    </row>
    <row r="231" spans="1:2" x14ac:dyDescent="0.25">
      <c r="A231" s="8" t="s">
        <v>44</v>
      </c>
      <c r="B231" s="3">
        <v>1</v>
      </c>
    </row>
    <row r="232" spans="1:2" x14ac:dyDescent="0.25">
      <c r="A232" s="8" t="s">
        <v>49</v>
      </c>
      <c r="B232" s="3">
        <v>1</v>
      </c>
    </row>
    <row r="233" spans="1:2" x14ac:dyDescent="0.25">
      <c r="A233" s="8" t="s">
        <v>43</v>
      </c>
      <c r="B233" s="3">
        <v>1</v>
      </c>
    </row>
    <row r="234" spans="1:2" x14ac:dyDescent="0.25">
      <c r="A234" s="8" t="s">
        <v>46</v>
      </c>
      <c r="B234" s="3">
        <v>1</v>
      </c>
    </row>
    <row r="235" spans="1:2" x14ac:dyDescent="0.25">
      <c r="A235" s="8" t="s">
        <v>41</v>
      </c>
      <c r="B235" s="3">
        <v>1</v>
      </c>
    </row>
    <row r="236" spans="1:2" x14ac:dyDescent="0.25">
      <c r="A236" s="8" t="s">
        <v>48</v>
      </c>
      <c r="B236" s="3">
        <v>1</v>
      </c>
    </row>
    <row r="237" spans="1:2" x14ac:dyDescent="0.25">
      <c r="A237" s="8" t="s">
        <v>45</v>
      </c>
      <c r="B237" s="3">
        <v>1</v>
      </c>
    </row>
    <row r="525" spans="1:3" x14ac:dyDescent="0.25">
      <c r="A525" s="6" t="s">
        <v>91</v>
      </c>
    </row>
    <row r="527" spans="1:3" x14ac:dyDescent="0.25">
      <c r="A527" s="7" t="s">
        <v>84</v>
      </c>
      <c r="B527" t="s">
        <v>86</v>
      </c>
      <c r="C527" t="s">
        <v>99</v>
      </c>
    </row>
    <row r="528" spans="1:3" x14ac:dyDescent="0.25">
      <c r="A528" s="8" t="s">
        <v>33</v>
      </c>
      <c r="B528" s="3">
        <v>2</v>
      </c>
      <c r="C528" s="3">
        <v>0</v>
      </c>
    </row>
    <row r="529" spans="1:3" x14ac:dyDescent="0.25">
      <c r="A529" s="8" t="s">
        <v>30</v>
      </c>
      <c r="B529" s="3">
        <v>2</v>
      </c>
      <c r="C529" s="3">
        <v>0</v>
      </c>
    </row>
    <row r="530" spans="1:3" x14ac:dyDescent="0.25">
      <c r="A530" s="8" t="s">
        <v>29</v>
      </c>
      <c r="B530" s="3">
        <v>4</v>
      </c>
      <c r="C530" s="3">
        <v>0</v>
      </c>
    </row>
    <row r="531" spans="1:3" x14ac:dyDescent="0.25">
      <c r="A531" s="8" t="s">
        <v>32</v>
      </c>
      <c r="B531" s="3">
        <v>2</v>
      </c>
      <c r="C531" s="3">
        <v>9</v>
      </c>
    </row>
    <row r="532" spans="1:3" x14ac:dyDescent="0.25">
      <c r="A532" s="8" t="s">
        <v>31</v>
      </c>
      <c r="B532" s="3">
        <v>4</v>
      </c>
      <c r="C532" s="3">
        <v>0</v>
      </c>
    </row>
    <row r="533" spans="1:3" x14ac:dyDescent="0.25">
      <c r="A533" s="8" t="s">
        <v>85</v>
      </c>
      <c r="B533" s="3">
        <v>14</v>
      </c>
      <c r="C533" s="3">
        <v>1.2857142857142858</v>
      </c>
    </row>
    <row r="538" spans="1:3" x14ac:dyDescent="0.25">
      <c r="A538" s="6" t="s">
        <v>7</v>
      </c>
    </row>
    <row r="540" spans="1:3" x14ac:dyDescent="0.25">
      <c r="A540" s="7" t="s">
        <v>84</v>
      </c>
      <c r="B540" t="s">
        <v>92</v>
      </c>
    </row>
    <row r="541" spans="1:3" x14ac:dyDescent="0.25">
      <c r="A541" s="8" t="s">
        <v>17</v>
      </c>
      <c r="B541" s="3">
        <v>7</v>
      </c>
    </row>
    <row r="542" spans="1:3" x14ac:dyDescent="0.25">
      <c r="A542" s="8" t="s">
        <v>18</v>
      </c>
      <c r="B542" s="3">
        <v>7</v>
      </c>
    </row>
    <row r="543" spans="1:3" x14ac:dyDescent="0.25">
      <c r="A543" s="8" t="s">
        <v>85</v>
      </c>
      <c r="B543" s="3">
        <v>14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3B143920-ACF8-4FE6-96BE-A450319E52AB}">
  <ds:schemaRefs/>
</ds:datastoreItem>
</file>

<file path=customXml/itemProps2.xml><?xml version="1.0" encoding="utf-8"?>
<ds:datastoreItem xmlns:ds="http://schemas.openxmlformats.org/officeDocument/2006/customXml" ds:itemID="{B15B6DBD-C138-4EF0-98BE-CBFE6C78CA8D}">
  <ds:schemaRefs/>
</ds:datastoreItem>
</file>

<file path=customXml/itemProps3.xml><?xml version="1.0" encoding="utf-8"?>
<ds:datastoreItem xmlns:ds="http://schemas.openxmlformats.org/officeDocument/2006/customXml" ds:itemID="{4702C3CE-270B-498D-B707-50A72CF0EA8B}">
  <ds:schemaRefs/>
</ds:datastoreItem>
</file>

<file path=customXml/itemProps4.xml><?xml version="1.0" encoding="utf-8"?>
<ds:datastoreItem xmlns:ds="http://schemas.openxmlformats.org/officeDocument/2006/customXml" ds:itemID="{E1D87717-8484-4176-85BC-ED241589F4AE}">
  <ds:schemaRefs/>
</ds:datastoreItem>
</file>

<file path=customXml/itemProps5.xml><?xml version="1.0" encoding="utf-8"?>
<ds:datastoreItem xmlns:ds="http://schemas.openxmlformats.org/officeDocument/2006/customXml" ds:itemID="{B5741B85-604C-4720-B15C-ECFF94FB6D20}">
  <ds:schemaRefs/>
</ds:datastoreItem>
</file>

<file path=customXml/itemProps6.xml><?xml version="1.0" encoding="utf-8"?>
<ds:datastoreItem xmlns:ds="http://schemas.openxmlformats.org/officeDocument/2006/customXml" ds:itemID="{CB4FF238-F688-4C22-BCE0-54EF50F8F327}">
  <ds:schemaRefs>
    <ds:schemaRef ds:uri="http://schemas.microsoft.com/PowerBIAddIn"/>
  </ds:schemaRefs>
</ds:datastoreItem>
</file>

<file path=customXml/itemProps7.xml><?xml version="1.0" encoding="utf-8"?>
<ds:datastoreItem xmlns:ds="http://schemas.openxmlformats.org/officeDocument/2006/customXml" ds:itemID="{07E53721-B056-449E-B19D-40B94D51ACD6}">
  <ds:schemaRefs/>
</ds:datastoreItem>
</file>

<file path=customXml/itemProps8.xml><?xml version="1.0" encoding="utf-8"?>
<ds:datastoreItem xmlns:ds="http://schemas.openxmlformats.org/officeDocument/2006/customXml" ds:itemID="{C90F6825-E270-42A3-9906-45F9D7AD4603}">
  <ds:schemaRefs/>
</ds:datastoreItem>
</file>

<file path=customXml/itemProps9.xml><?xml version="1.0" encoding="utf-8"?>
<ds:datastoreItem xmlns:ds="http://schemas.openxmlformats.org/officeDocument/2006/customXml" ds:itemID="{2B7B754A-8770-4977-8F36-AF8DDE468341}">
  <ds:schemaRefs/>
</ds:datastoreItem>
</file>

<file path=customXml/itemProps10.xml><?xml version="1.0" encoding="utf-8"?>
<ds:datastoreItem xmlns:ds="http://schemas.openxmlformats.org/officeDocument/2006/customXml" ds:itemID="{9D2D62F0-2EDF-44B0-9318-8A8366BA3622}">
  <ds:schemaRefs/>
</ds:datastoreItem>
</file>

<file path=customXml/itemProps11.xml><?xml version="1.0" encoding="utf-8"?>
<ds:datastoreItem xmlns:ds="http://schemas.openxmlformats.org/officeDocument/2006/customXml" ds:itemID="{C7E83024-CD10-4E3D-8953-5A8532396914}">
  <ds:schemaRefs/>
</ds:datastoreItem>
</file>

<file path=customXml/itemProps12.xml><?xml version="1.0" encoding="utf-8"?>
<ds:datastoreItem xmlns:ds="http://schemas.openxmlformats.org/officeDocument/2006/customXml" ds:itemID="{6C6125DE-B711-4C08-8371-8E307AF3AA91}">
  <ds:schemaRefs/>
</ds:datastoreItem>
</file>

<file path=customXml/itemProps13.xml><?xml version="1.0" encoding="utf-8"?>
<ds:datastoreItem xmlns:ds="http://schemas.openxmlformats.org/officeDocument/2006/customXml" ds:itemID="{835D90BA-398A-45A0-9CD6-81372FC17F05}">
  <ds:schemaRefs/>
</ds:datastoreItem>
</file>

<file path=customXml/itemProps14.xml><?xml version="1.0" encoding="utf-8"?>
<ds:datastoreItem xmlns:ds="http://schemas.openxmlformats.org/officeDocument/2006/customXml" ds:itemID="{55C04DC8-8319-4D7F-9D51-056BE7C88199}">
  <ds:schemaRefs/>
</ds:datastoreItem>
</file>

<file path=customXml/itemProps15.xml><?xml version="1.0" encoding="utf-8"?>
<ds:datastoreItem xmlns:ds="http://schemas.openxmlformats.org/officeDocument/2006/customXml" ds:itemID="{B6841E24-374E-4DCD-AF18-77B74195C36A}">
  <ds:schemaRefs/>
</ds:datastoreItem>
</file>

<file path=customXml/itemProps16.xml><?xml version="1.0" encoding="utf-8"?>
<ds:datastoreItem xmlns:ds="http://schemas.openxmlformats.org/officeDocument/2006/customXml" ds:itemID="{C53E92FD-B663-4BDE-874E-799B119778E4}">
  <ds:schemaRefs/>
</ds:datastoreItem>
</file>

<file path=customXml/itemProps17.xml><?xml version="1.0" encoding="utf-8"?>
<ds:datastoreItem xmlns:ds="http://schemas.openxmlformats.org/officeDocument/2006/customXml" ds:itemID="{AC4024DB-80CF-48EB-928D-8CF63211C870}">
  <ds:schemaRefs/>
</ds:datastoreItem>
</file>

<file path=customXml/itemProps18.xml><?xml version="1.0" encoding="utf-8"?>
<ds:datastoreItem xmlns:ds="http://schemas.openxmlformats.org/officeDocument/2006/customXml" ds:itemID="{C66EBF15-7646-424B-9639-15ACF47257CD}">
  <ds:schemaRefs/>
</ds:datastoreItem>
</file>

<file path=customXml/itemProps19.xml><?xml version="1.0" encoding="utf-8"?>
<ds:datastoreItem xmlns:ds="http://schemas.openxmlformats.org/officeDocument/2006/customXml" ds:itemID="{3C2D1DF3-74D3-4844-82A2-6CF3D62280B8}">
  <ds:schemaRefs/>
</ds:datastoreItem>
</file>

<file path=customXml/itemProps20.xml><?xml version="1.0" encoding="utf-8"?>
<ds:datastoreItem xmlns:ds="http://schemas.openxmlformats.org/officeDocument/2006/customXml" ds:itemID="{87487799-AA53-4DB2-B2C4-4A1E49AC4857}">
  <ds:schemaRefs/>
</ds:datastoreItem>
</file>

<file path=customXml/itemProps21.xml><?xml version="1.0" encoding="utf-8"?>
<ds:datastoreItem xmlns:ds="http://schemas.openxmlformats.org/officeDocument/2006/customXml" ds:itemID="{40DD1133-DBA2-496A-9344-038DA926F02C}">
  <ds:schemaRefs/>
</ds:datastoreItem>
</file>

<file path=customXml/itemProps22.xml><?xml version="1.0" encoding="utf-8"?>
<ds:datastoreItem xmlns:ds="http://schemas.openxmlformats.org/officeDocument/2006/customXml" ds:itemID="{8D12FAA5-1641-4945-9BC9-546D0E88704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Dashboard</vt:lpstr>
      <vt:lpstr>Tickets</vt:lpstr>
      <vt:lpstr>Work</vt:lpstr>
      <vt:lpstr>Lists</vt:lpstr>
      <vt:lpstr>Dashboard Helper</vt:lpstr>
      <vt:lpstr>Dashboard!Print_Area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mrrawhaley</dc:creator>
  <cp:keywords/>
  <dc:description/>
  <cp:lastModifiedBy>Regis Whaley</cp:lastModifiedBy>
  <cp:revision/>
  <cp:lastPrinted>2022-10-02T20:42:51Z</cp:lastPrinted>
  <dcterms:created xsi:type="dcterms:W3CDTF">2022-10-01T21:51:11Z</dcterms:created>
  <dcterms:modified xsi:type="dcterms:W3CDTF">2022-10-05T02:22:39Z</dcterms:modified>
  <cp:category/>
  <cp:contentStatus/>
</cp:coreProperties>
</file>